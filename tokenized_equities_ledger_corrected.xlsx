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OA" sheetId="3" state="visible" r:id="rId5"/>
    <sheet name="OnChain" sheetId="4" state="visible" r:id="rId6"/>
    <sheet name="Custodian" sheetId="5" state="visible" r:id="rId7"/>
    <sheet name="Journal" sheetId="6" state="visible" r:id="rId8"/>
    <sheet name="TrialBalance" sheetId="7" state="visible" r:id="rId9"/>
    <sheet name="Recon" sheetId="8" state="visible" r:id="rId10"/>
    <sheet name="Tests" sheetId="9" state="visible" r:id="rId11"/>
    <sheet name="Findings" sheetId="10" state="visible" r:id="rId12"/>
  </sheets>
  <definedNames>
    <definedName function="false" hidden="true" localSheetId="5" name="_xlnm._FilterDatabase" vbProcedure="false">Journal!$A$4:$M$98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<sst xmlns="http://schemas.openxmlformats.org/spreadsheetml/2006/main" count="450" uniqueCount="216">
  <si>
    <t xml:space="preserve">Tokenised equities mock ledger (Excel version)</t>
  </si>
  <si>
    <t xml:space="preserve">An illustrative model of the accounting and reconciliation for an issuer of tokens backed 1:1 by listed shares. Synthetic data. Not any real company's model.</t>
  </si>
  <si>
    <t xml:space="preserve">Purpose</t>
  </si>
  <si>
    <t xml:space="preserve">Show how issuance, redemption, hedging and fair value flow through a ledger, and how a three-way reconciliation (on-chain vs ledger vs custodian) and transaction-level tests find breaks.</t>
  </si>
  <si>
    <t xml:space="preserve">Colour legend</t>
  </si>
  <si>
    <t xml:space="preserve">Blue text = typed input. Black text = formula. Yellow fill = key assumption. Green/amber/red = test result.</t>
  </si>
  <si>
    <t xml:space="preserve">Tabs</t>
  </si>
  <si>
    <t xml:space="preserve">Assumptions (fee, report date, prices) | COA | OnChain | Custodian | Journal | TrialBalance | Recon | Tests | Findings</t>
  </si>
  <si>
    <t xml:space="preserve">How the numbers flow</t>
  </si>
  <si>
    <t xml:space="preserve">OnChain and Custodian are source records. Journal holds the ledger, with amounts calculated from quantity and price. TrialBalance, Recon and Tests are all formulas over those tabs.</t>
  </si>
  <si>
    <t xml:space="preserve">Policy assumptions</t>
  </si>
  <si>
    <t xml:space="preserve">Tokens are financial liabilities at FVTPL; backing shares are financial assets at FVTPL (IFRS 9 / IAS 32 judgement). Issuer is principal and holds the shares on its own balance sheet. 0.5% fee on issue and redemption. T+1 settlement.</t>
  </si>
  <si>
    <t xml:space="preserve">Try this</t>
  </si>
  <si>
    <t xml:space="preserve">Change a quantity on OnChain or Journal, or the report date on Assumptions, and watch Recon and Tests react. Delete a break (for example add the missing 0xT05 entries to Journal) and confirm the checks go green.</t>
  </si>
  <si>
    <t xml:space="preserve">Not modelled</t>
  </si>
  <si>
    <t xml:space="preserve">Dividends and withholding tax, stock splits and rebasing, FX (AED/USD), custody fees, bank reconciliation, gas costs.</t>
  </si>
  <si>
    <t xml:space="preserve">Companion</t>
  </si>
  <si>
    <t xml:space="preserve">A Python version of the same model is in the same repository (tokenized_equities_ledger.py).</t>
  </si>
  <si>
    <t xml:space="preserve">Assumptions and inputs</t>
  </si>
  <si>
    <t xml:space="preserve">Blue = typed input. Yellow = key assumption. All prices, quantities and hashes are synthetic.</t>
  </si>
  <si>
    <t xml:space="preserve">Fee rate (issue and redeem)</t>
  </si>
  <si>
    <t xml:space="preserve">Assumption: 0.5% fee on notional at issue and at redemption.</t>
  </si>
  <si>
    <t xml:space="preserve">Report date</t>
  </si>
  <si>
    <t xml:space="preserve">Reconciliation is run as at this date. Change it to see timing items move.</t>
  </si>
  <si>
    <t xml:space="preserve">Settlement cycle</t>
  </si>
  <si>
    <t xml:space="preserve">T+1</t>
  </si>
  <si>
    <t xml:space="preserve">Hedge trades settle the next business day (WORKDAY used in Tests).</t>
  </si>
  <si>
    <t xml:space="preserve">Synthetic closing prices (USD per share)</t>
  </si>
  <si>
    <t xml:space="preserve">Date</t>
  </si>
  <si>
    <t xml:space="preserve">AAPL</t>
  </si>
  <si>
    <t xml:space="preserve">NVDA</t>
  </si>
  <si>
    <t xml:space="preserve">Policy assumption (illustrative, not any real company's model): tokens are financial liabilities at FVTPL; backing shares are financial assets at FVTPL; issuer is principal and holds the shares on its own balance sheet.</t>
  </si>
  <si>
    <t xml:space="preserve">Chart of accounts</t>
  </si>
  <si>
    <t xml:space="preserve">Code</t>
  </si>
  <si>
    <t xml:space="preserve">Account name</t>
  </si>
  <si>
    <t xml:space="preserve">Type</t>
  </si>
  <si>
    <t xml:space="preserve">Cash</t>
  </si>
  <si>
    <t xml:space="preserve">Asset</t>
  </si>
  <si>
    <t xml:space="preserve">Investments in underlying shares (FVTPL)</t>
  </si>
  <si>
    <t xml:space="preserve">Due from broker (unsettled sales)</t>
  </si>
  <si>
    <t xml:space="preserve">Token liability (FVTPL)</t>
  </si>
  <si>
    <t xml:space="preserve">Liability</t>
  </si>
  <si>
    <t xml:space="preserve">Due to broker (unsettled purchases)</t>
  </si>
  <si>
    <t xml:space="preserve">Fee income</t>
  </si>
  <si>
    <t xml:space="preserve">Income</t>
  </si>
  <si>
    <t xml:space="preserve">FV gain/loss - underlying investments</t>
  </si>
  <si>
    <t xml:space="preserve">FV gain/loss - token liability</t>
  </si>
  <si>
    <t xml:space="preserve">Expense</t>
  </si>
  <si>
    <t xml:space="preserve">On-chain events (source: blockchain explorer / issuer smart contract)</t>
  </si>
  <si>
    <t xml:space="preserve">One row per mint or burn. Quantities are positive; column G applies the sign.</t>
  </si>
  <si>
    <t xml:space="preserve">Tx hash</t>
  </si>
  <si>
    <t xml:space="preserve">Kind</t>
  </si>
  <si>
    <t xml:space="preserve">Ticker</t>
  </si>
  <si>
    <t xml:space="preserve">Qty (tokens)</t>
  </si>
  <si>
    <t xml:space="preserve">Wallet</t>
  </si>
  <si>
    <t xml:space="preserve">Signed qty</t>
  </si>
  <si>
    <t xml:space="preserve">0xT01</t>
  </si>
  <si>
    <t xml:space="preserve">MINT</t>
  </si>
  <si>
    <t xml:space="preserve">walletA</t>
  </si>
  <si>
    <t xml:space="preserve">0xT02</t>
  </si>
  <si>
    <t xml:space="preserve">walletB</t>
  </si>
  <si>
    <t xml:space="preserve">0xT03</t>
  </si>
  <si>
    <t xml:space="preserve">walletC</t>
  </si>
  <si>
    <t xml:space="preserve">0xT04</t>
  </si>
  <si>
    <t xml:space="preserve">BURN</t>
  </si>
  <si>
    <t xml:space="preserve">0xT05</t>
  </si>
  <si>
    <t xml:space="preserve">walletD</t>
  </si>
  <si>
    <t xml:space="preserve">0xT06</t>
  </si>
  <si>
    <t xml:space="preserve">0xT07</t>
  </si>
  <si>
    <t xml:space="preserve">walletE</t>
  </si>
  <si>
    <t xml:space="preserve">0xT08</t>
  </si>
  <si>
    <t xml:space="preserve">walletF</t>
  </si>
  <si>
    <t xml:space="preserve">0xT09</t>
  </si>
  <si>
    <t xml:space="preserve">Custodian trade confirmations (source: custodian / broker statement)</t>
  </si>
  <si>
    <t xml:space="preserve">Signed quantity: purchases positive, sales negative. A trade the custodian never executed has no row here.</t>
  </si>
  <si>
    <t xml:space="preserve">Trade ID</t>
  </si>
  <si>
    <t xml:space="preserve">Signed qty (shares)</t>
  </si>
  <si>
    <t xml:space="preserve">Trade date</t>
  </si>
  <si>
    <t xml:space="preserve">Settle date</t>
  </si>
  <si>
    <t xml:space="preserve">Status at report date</t>
  </si>
  <si>
    <t xml:space="preserve">HEDGE-0xT01</t>
  </si>
  <si>
    <t xml:space="preserve">HEDGE-0xT02</t>
  </si>
  <si>
    <t xml:space="preserve">HEDGE-0xT03</t>
  </si>
  <si>
    <t xml:space="preserve">HEDGE-0xT04</t>
  </si>
  <si>
    <t xml:space="preserve">HEDGE-0xT05</t>
  </si>
  <si>
    <t xml:space="preserve">HEDGE-0xT06</t>
  </si>
  <si>
    <t xml:space="preserve">HEDGE-0xT07</t>
  </si>
  <si>
    <t xml:space="preserve">HEDGE-0xT08</t>
  </si>
  <si>
    <t xml:space="preserve">HEDGE-0xT09</t>
  </si>
  <si>
    <t xml:space="preserve">General ledger journal (every line is one debit or credit)</t>
  </si>
  <si>
    <t xml:space="preserve">Blue = typed (date, ref, account, ticker, signed qty). Black = formulas (price, notional, debits, credits). Qty is the change in tokens (acct 2000) or shares (acct 1100); revaluation lines carry 0.</t>
  </si>
  <si>
    <t xml:space="preserve">JE #</t>
  </si>
  <si>
    <t xml:space="preserve">Ref</t>
  </si>
  <si>
    <t xml:space="preserve">Memo</t>
  </si>
  <si>
    <t xml:space="preserve">Account</t>
  </si>
  <si>
    <t xml:space="preserve">Price (USD)</t>
  </si>
  <si>
    <t xml:space="preserve">Amount basis</t>
  </si>
  <si>
    <t xml:space="preserve">Debit</t>
  </si>
  <si>
    <t xml:space="preserve">Credit</t>
  </si>
  <si>
    <t xml:space="preserve">Balance check</t>
  </si>
  <si>
    <t xml:space="preserve">Issue 100 AAPL tokens</t>
  </si>
  <si>
    <t xml:space="preserve">Buy 100 AAPL to back issuance</t>
  </si>
  <si>
    <t xml:space="preserve">Issue 500 NVDA tokens</t>
  </si>
  <si>
    <t xml:space="preserve">Buy 500 NVDA to back issuance</t>
  </si>
  <si>
    <t xml:space="preserve">SETTLE-HEDGE-0xT01</t>
  </si>
  <si>
    <t xml:space="preserve">Settle purchase</t>
  </si>
  <si>
    <t xml:space="preserve">SETTLE-HEDGE-0xT02</t>
  </si>
  <si>
    <t xml:space="preserve">REVAL-AAPL-2026-10-06</t>
  </si>
  <si>
    <t xml:space="preserve">Remeasure AAPL to fair value</t>
  </si>
  <si>
    <t xml:space="preserve">REVAL-NVDA-2026-10-06</t>
  </si>
  <si>
    <t xml:space="preserve">Remeasure NVDA to fair value</t>
  </si>
  <si>
    <t xml:space="preserve">Issue 50 AAPL tokens</t>
  </si>
  <si>
    <t xml:space="preserve">Buy 50 AAPL to back issuance</t>
  </si>
  <si>
    <t xml:space="preserve">SETTLE-HEDGE-0xT03</t>
  </si>
  <si>
    <t xml:space="preserve">REVAL-AAPL-2026-10-07</t>
  </si>
  <si>
    <t xml:space="preserve">REVAL-NVDA-2026-10-07</t>
  </si>
  <si>
    <t xml:space="preserve">Redeem 30 AAPL tokens</t>
  </si>
  <si>
    <t xml:space="preserve">Sell 30 AAPL to fund redemption</t>
  </si>
  <si>
    <t xml:space="preserve">Issue 200 NVDA tokens</t>
  </si>
  <si>
    <t xml:space="preserve">Buy 200 NVDA to back issuance</t>
  </si>
  <si>
    <t xml:space="preserve">SETTLE-HEDGE-0xT04</t>
  </si>
  <si>
    <t xml:space="preserve">Settle sale</t>
  </si>
  <si>
    <t xml:space="preserve">SETTLE-HEDGE-0xT05</t>
  </si>
  <si>
    <t xml:space="preserve">REVAL-AAPL-2026-10-08</t>
  </si>
  <si>
    <t xml:space="preserve">REVAL-NVDA-2026-10-08</t>
  </si>
  <si>
    <t xml:space="preserve">Redeem 10 NVDA tokens</t>
  </si>
  <si>
    <t xml:space="preserve">Sell 100 NVDA to fund redemption</t>
  </si>
  <si>
    <t xml:space="preserve">Redeem 90 NVDA tokens</t>
  </si>
  <si>
    <t xml:space="preserve">Issue 40 AAPL tokens</t>
  </si>
  <si>
    <t xml:space="preserve">Buy 40 AAPL to back issuance</t>
  </si>
  <si>
    <t xml:space="preserve">SETTLE-HEDGE-0xT06</t>
  </si>
  <si>
    <t xml:space="preserve">SETTLE-HEDGE-0xT07</t>
  </si>
  <si>
    <t xml:space="preserve">REVAL-AAPL-2026-10-09</t>
  </si>
  <si>
    <t xml:space="preserve">REVAL-NVDA-2026-10-09</t>
  </si>
  <si>
    <t xml:space="preserve">Issue 25 NVDA tokens</t>
  </si>
  <si>
    <t xml:space="preserve">Buy 25 NVDA to back issuance</t>
  </si>
  <si>
    <t xml:space="preserve">Redeem 20 AAPL tokens</t>
  </si>
  <si>
    <t xml:space="preserve">Sell 20 AAPL to fund redemption</t>
  </si>
  <si>
    <t xml:space="preserve">Trial balance</t>
  </si>
  <si>
    <t xml:space="preserve">Name</t>
  </si>
  <si>
    <t xml:space="preserve">Total debits</t>
  </si>
  <si>
    <t xml:space="preserve">Total credits</t>
  </si>
  <si>
    <t xml:space="preserve">Debit balance</t>
  </si>
  <si>
    <t xml:space="preserve">Credit balance</t>
  </si>
  <si>
    <t xml:space="preserve">Total</t>
  </si>
  <si>
    <t xml:space="preserve">Trial balance check (debits - credits)</t>
  </si>
  <si>
    <t xml:space="preserve">Unbalanced journal entries (count)</t>
  </si>
  <si>
    <t xml:space="preserve">Net fair-value result (gain on shares less loss on token liability)</t>
  </si>
  <si>
    <t xml:space="preserve">Net FV result should be zero while the token book and the share book hold the same units. A non-zero value is P&amp;L noise caused by a unit break (see Recon, check R4).</t>
  </si>
  <si>
    <t xml:space="preserve">Three-way unit reconciliation: on-chain vs ledger vs custodian</t>
  </si>
  <si>
    <t xml:space="preserve">Report date:</t>
  </si>
  <si>
    <t xml:space="preserve">On-chain supply (tokens)</t>
  </si>
  <si>
    <t xml:space="preserve">Ledger tokens (acct 2000)</t>
  </si>
  <si>
    <t xml:space="preserve">Ledger shares (acct 1100)</t>
  </si>
  <si>
    <t xml:space="preserve">Custodian settled</t>
  </si>
  <si>
    <t xml:space="preserve">Custodian pending (T+1)</t>
  </si>
  <si>
    <t xml:space="preserve">Custodian trade-date position</t>
  </si>
  <si>
    <t xml:space="preserve">R1 on-chain less ledger tokens</t>
  </si>
  <si>
    <t xml:space="preserve">R2 ledger shares less custodian</t>
  </si>
  <si>
    <t xml:space="preserve">R3 on-chain less custodian (backing gap)</t>
  </si>
  <si>
    <t xml:space="preserve">R4 ledger tokens less ledger shares</t>
  </si>
  <si>
    <t xml:space="preserve">Status</t>
  </si>
  <si>
    <t xml:space="preserve">How to read this tab</t>
  </si>
  <si>
    <t xml:space="preserve">Custodian pending is a legitimate timing difference (trades done, not yet settled). Columns R1 to R4 are not allowed to be non-zero.</t>
  </si>
  <si>
    <t xml:space="preserve">R1: tokens in circulation vs the ledger's token liability units. Non-zero means a missed or mis-keyed posting.</t>
  </si>
  <si>
    <t xml:space="preserve">R2: shares the ledger says we hold vs what the custodian confirms on a trade-date basis. Non-zero means a hedge trade is missing or was never executed.</t>
  </si>
  <si>
    <t xml:space="preserve">R3: tokens in circulation vs shares actually held at the custodian. A positive number means tokens are not fully backed (the most serious break).</t>
  </si>
  <si>
    <t xml:space="preserve">R4: the ledger's token units vs the ledger's own share units. Non-zero means the books disagree internally and the P&amp;L picks up noise.</t>
  </si>
  <si>
    <t xml:space="preserve">Netting hides errors: one NVDA break offsets part of another in R1, which is why the transaction-level tests on the Tests tab matter.</t>
  </si>
  <si>
    <t xml:space="preserve">Transaction-level tests</t>
  </si>
  <si>
    <t xml:space="preserve">A. Token entries: completeness (T1) and accuracy (T3), one row per on-chain event</t>
  </si>
  <si>
    <t xml:space="preserve">On-chain qty</t>
  </si>
  <si>
    <t xml:space="preserve">Ledger token lines</t>
  </si>
  <si>
    <t xml:space="preserve">Ledger token qty</t>
  </si>
  <si>
    <t xml:space="preserve">Difference</t>
  </si>
  <si>
    <t xml:space="preserve">Result</t>
  </si>
  <si>
    <t xml:space="preserve">B. Hedge trades: ledger vs custodian, and settlement ageing (T4, T5)</t>
  </si>
  <si>
    <t xml:space="preserve">Hedge trade ID</t>
  </si>
  <si>
    <t xml:space="preserve">Settle date (T+1)</t>
  </si>
  <si>
    <t xml:space="preserve">Custodian qty</t>
  </si>
  <si>
    <t xml:space="preserve">Ledger shares qty</t>
  </si>
  <si>
    <t xml:space="preserve">Settlement posted?</t>
  </si>
  <si>
    <t xml:space="preserve">C. Existence (T2): ledger entries that reference an on-chain hash that does not exist</t>
  </si>
  <si>
    <t xml:space="preserve">Count of such entries (expected 0)</t>
  </si>
  <si>
    <t xml:space="preserve">Summary of exceptions</t>
  </si>
  <si>
    <t xml:space="preserve">Section A exceptions</t>
  </si>
  <si>
    <t xml:space="preserve">Section B exceptions (excluding timing items)</t>
  </si>
  <si>
    <t xml:space="preserve">Section B pending (timing, not an exception)</t>
  </si>
  <si>
    <t xml:space="preserve">Injected breaks and what catches them</t>
  </si>
  <si>
    <t xml:space="preserve">Commentary only. The scenario is synthetic; each break mirrors a real control failure type.</t>
  </si>
  <si>
    <t xml:space="preserve">#</t>
  </si>
  <si>
    <t xml:space="preserve">What was injected</t>
  </si>
  <si>
    <t xml:space="preserve">Where it shows up</t>
  </si>
  <si>
    <t xml:space="preserve">Control that catches it</t>
  </si>
  <si>
    <t xml:space="preserve">Likely root cause</t>
  </si>
  <si>
    <t xml:space="preserve">Suggested fix</t>
  </si>
  <si>
    <t xml:space="preserve">0xT05: 200 NVDA tokens minted on-chain and bought at the custodian, but never posted in the ledger.</t>
  </si>
  <si>
    <t xml:space="preserve">Tests A (MISSING IN LEDGER), Tests B (CUSTODIAN TRADE NOT IN LEDGER), Recon R1 and R2 for NVDA.</t>
  </si>
  <si>
    <t xml:space="preserve">Completeness test: every on-chain event must have a journal entry.</t>
  </si>
  <si>
    <t xml:space="preserve">Posting feed from the issuance system dropped an event.</t>
  </si>
  <si>
    <t xml:space="preserve">Post the missing issuance and hedge entries; add an automated on-chain-to-ledger completeness check each day.</t>
  </si>
  <si>
    <t xml:space="preserve">0xT06: a 100-token NVDA redemption keyed as 10 tokens in the ledger.</t>
  </si>
  <si>
    <t xml:space="preserve">Tests A (QTY MISMATCH), Recon R1 and R4 for NVDA, and a non-zero net FV result on TrialBalance.</t>
  </si>
  <si>
    <t xml:space="preserve">Accuracy test: ledger token quantity must equal on-chain quantity.</t>
  </si>
  <si>
    <t xml:space="preserve">Manual keying error or truncation in the integration.</t>
  </si>
  <si>
    <t xml:space="preserve">Correct the entry; remove manual keying for token events and post straight from the on-chain feed.</t>
  </si>
  <si>
    <t xml:space="preserve">0xT07: 40 AAPL tokens minted and booked, but the custodian never executed the hedge buy.</t>
  </si>
  <si>
    <t xml:space="preserve">Tests B (LEDGER TRADE NOT CONFIRMED BY CUSTODIAN), Recon R2 and R3 for AAPL (backing gap).</t>
  </si>
  <si>
    <t xml:space="preserve">Custodian confirmation match and the on-chain-to-custodian backing check.</t>
  </si>
  <si>
    <t xml:space="preserve">Hedge order rejected or never sent; ledger booked on instruction, not on confirmation.</t>
  </si>
  <si>
    <t xml:space="preserve">Escalate immediately: tokens are not fully backed. Re-execute the trade, and book only on custodian confirmation.</t>
  </si>
  <si>
    <t xml:space="preserve">Why the totals can hide errors</t>
  </si>
  <si>
    <t xml:space="preserve">Recon R1 for NVDA is the net of break 1 and break 2.</t>
  </si>
  <si>
    <t xml:space="preserve">Transaction-level tests on the Tests tab.</t>
  </si>
  <si>
    <t xml:space="preserve">Offsetting errors net down in a unit total.</t>
  </si>
  <si>
    <t xml:space="preserve">Never rely on totals alone; test completeness and accuracy per transaction.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</si>
</sst>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yyyy\-mm\-dd"/>
    <numFmt numFmtId="167" formatCode="#,##0.00;\(#,##0.00\);\-"/>
    <numFmt numFmtId="168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5" t="s">
        <v>20</v>
      </c>
      <c r="B3" s="6" t="n">
        <v>0.005</v>
      </c>
      <c r="C3" s="2" t="s">
        <v>21</v>
      </c>
    </row>
    <row r="4" customFormat="false" ht="15" hidden="false" customHeight="false" outlineLevel="0" collapsed="false">
      <c r="A4" s="5" t="s">
        <v>22</v>
      </c>
      <c r="B4" s="7" t="n">
        <v>46304</v>
      </c>
      <c r="C4" s="2" t="s">
        <v>23</v>
      </c>
    </row>
    <row r="5" customFormat="false" ht="15" hidden="false" customHeight="false" outlineLevel="0" collapsed="false">
      <c r="A5" s="5" t="s">
        <v>24</v>
      </c>
      <c r="B5" s="8" t="s">
        <v>25</v>
      </c>
      <c r="C5" s="2" t="s">
        <v>26</v>
      </c>
    </row>
    <row r="7" customFormat="false" ht="15" hidden="false" customHeight="false" outlineLevel="0" collapsed="false">
      <c r="A7" s="5" t="s">
        <v>27</v>
      </c>
    </row>
    <row r="8" customFormat="false" ht="31.5" hidden="false" customHeight="true" outlineLevel="0" collapsed="false">
      <c r="A8" s="9" t="s">
        <v>28</v>
      </c>
      <c r="B8" s="9" t="s">
        <v>29</v>
      </c>
      <c r="C8" s="9" t="s">
        <v>30</v>
      </c>
    </row>
    <row r="9" customFormat="false" ht="15" hidden="false" customHeight="false" outlineLevel="0" collapsed="false">
      <c r="A9" s="10" t="n">
        <v>46300</v>
      </c>
      <c r="B9" s="11" t="n">
        <v>210</v>
      </c>
      <c r="C9" s="11" t="n">
        <v>120</v>
      </c>
    </row>
    <row r="10" customFormat="false" ht="15" hidden="false" customHeight="false" outlineLevel="0" collapsed="false">
      <c r="A10" s="10" t="n">
        <v>46301</v>
      </c>
      <c r="B10" s="11" t="n">
        <v>212</v>
      </c>
      <c r="C10" s="11" t="n">
        <v>118</v>
      </c>
    </row>
    <row r="11" customFormat="false" ht="15" hidden="false" customHeight="false" outlineLevel="0" collapsed="false">
      <c r="A11" s="10" t="n">
        <v>46302</v>
      </c>
      <c r="B11" s="11" t="n">
        <v>211</v>
      </c>
      <c r="C11" s="11" t="n">
        <v>125</v>
      </c>
    </row>
    <row r="12" customFormat="false" ht="15" hidden="false" customHeight="false" outlineLevel="0" collapsed="false">
      <c r="A12" s="10" t="n">
        <v>46303</v>
      </c>
      <c r="B12" s="11" t="n">
        <v>215</v>
      </c>
      <c r="C12" s="11" t="n">
        <v>127</v>
      </c>
    </row>
    <row r="13" customFormat="false" ht="15" hidden="false" customHeight="false" outlineLevel="0" collapsed="false">
      <c r="A13" s="10" t="n">
        <v>46304</v>
      </c>
      <c r="B13" s="11" t="n">
        <v>214</v>
      </c>
      <c r="C13" s="11" t="n">
        <v>126</v>
      </c>
    </row>
    <row r="15" customFormat="false" ht="15" hidden="false" customHeight="false" outlineLevel="0" collapsed="false">
      <c r="A15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32</v>
      </c>
    </row>
    <row r="4" customFormat="false" ht="31.5" hidden="false" customHeight="true" outlineLevel="0" collapsed="false">
      <c r="A4" s="9" t="s">
        <v>33</v>
      </c>
      <c r="B4" s="9" t="s">
        <v>34</v>
      </c>
      <c r="C4" s="9" t="s">
        <v>35</v>
      </c>
    </row>
    <row r="5" customFormat="false" ht="15" hidden="false" customHeight="false" outlineLevel="0" collapsed="false">
      <c r="A5" s="12" t="n">
        <v>1000</v>
      </c>
      <c r="B5" s="12" t="s">
        <v>36</v>
      </c>
      <c r="C5" s="12" t="s">
        <v>37</v>
      </c>
    </row>
    <row r="6" customFormat="false" ht="15" hidden="false" customHeight="false" outlineLevel="0" collapsed="false">
      <c r="A6" s="12" t="n">
        <v>1100</v>
      </c>
      <c r="B6" s="12" t="s">
        <v>38</v>
      </c>
      <c r="C6" s="12" t="s">
        <v>37</v>
      </c>
    </row>
    <row r="7" customFormat="false" ht="15" hidden="false" customHeight="false" outlineLevel="0" collapsed="false">
      <c r="A7" s="12" t="n">
        <v>1200</v>
      </c>
      <c r="B7" s="12" t="s">
        <v>39</v>
      </c>
      <c r="C7" s="12" t="s">
        <v>37</v>
      </c>
    </row>
    <row r="8" customFormat="false" ht="15" hidden="false" customHeight="false" outlineLevel="0" collapsed="false">
      <c r="A8" s="12" t="n">
        <v>2000</v>
      </c>
      <c r="B8" s="12" t="s">
        <v>40</v>
      </c>
      <c r="C8" s="12" t="s">
        <v>41</v>
      </c>
    </row>
    <row r="9" customFormat="false" ht="15" hidden="false" customHeight="false" outlineLevel="0" collapsed="false">
      <c r="A9" s="12" t="n">
        <v>2100</v>
      </c>
      <c r="B9" s="12" t="s">
        <v>42</v>
      </c>
      <c r="C9" s="12" t="s">
        <v>41</v>
      </c>
    </row>
    <row r="10" customFormat="false" ht="15" hidden="false" customHeight="false" outlineLevel="0" collapsed="false">
      <c r="A10" s="12" t="n">
        <v>4000</v>
      </c>
      <c r="B10" s="12" t="s">
        <v>43</v>
      </c>
      <c r="C10" s="12" t="s">
        <v>44</v>
      </c>
    </row>
    <row r="11" customFormat="false" ht="15" hidden="false" customHeight="false" outlineLevel="0" collapsed="false">
      <c r="A11" s="12" t="n">
        <v>4100</v>
      </c>
      <c r="B11" s="12" t="s">
        <v>45</v>
      </c>
      <c r="C11" s="12" t="s">
        <v>44</v>
      </c>
    </row>
    <row r="12" customFormat="false" ht="15" hidden="false" customHeight="false" outlineLevel="0" collapsed="false">
      <c r="A12" s="12" t="n">
        <v>4200</v>
      </c>
      <c r="B12" s="12" t="s">
        <v>46</v>
      </c>
      <c r="C12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1.5" hidden="false" customHeight="true" outlineLevel="0" collapsed="false">
      <c r="A4" s="9" t="s">
        <v>50</v>
      </c>
      <c r="B4" s="9" t="s">
        <v>28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</row>
    <row r="5" customFormat="false" ht="15" hidden="false" customHeight="false" outlineLevel="0" collapsed="false">
      <c r="A5" s="12" t="s">
        <v>56</v>
      </c>
      <c r="B5" s="10" t="n">
        <v>46300</v>
      </c>
      <c r="C5" s="12" t="s">
        <v>57</v>
      </c>
      <c r="D5" s="12" t="s">
        <v>29</v>
      </c>
      <c r="E5" s="13" t="n">
        <v>100</v>
      </c>
      <c r="F5" s="12" t="s">
        <v>58</v>
      </c>
      <c r="G5" s="14" t="n">
        <f aca="false">IF(C5="MINT",E5,-E5)</f>
        <v>100</v>
      </c>
    </row>
    <row r="6" customFormat="false" ht="15" hidden="false" customHeight="false" outlineLevel="0" collapsed="false">
      <c r="A6" s="12" t="s">
        <v>59</v>
      </c>
      <c r="B6" s="10" t="n">
        <v>46300</v>
      </c>
      <c r="C6" s="12" t="s">
        <v>57</v>
      </c>
      <c r="D6" s="12" t="s">
        <v>30</v>
      </c>
      <c r="E6" s="13" t="n">
        <v>500</v>
      </c>
      <c r="F6" s="12" t="s">
        <v>60</v>
      </c>
      <c r="G6" s="14" t="n">
        <f aca="false">IF(C6="MINT",E6,-E6)</f>
        <v>500</v>
      </c>
    </row>
    <row r="7" customFormat="false" ht="15" hidden="false" customHeight="false" outlineLevel="0" collapsed="false">
      <c r="A7" s="12" t="s">
        <v>61</v>
      </c>
      <c r="B7" s="10" t="n">
        <v>46301</v>
      </c>
      <c r="C7" s="12" t="s">
        <v>57</v>
      </c>
      <c r="D7" s="12" t="s">
        <v>29</v>
      </c>
      <c r="E7" s="13" t="n">
        <v>50</v>
      </c>
      <c r="F7" s="12" t="s">
        <v>62</v>
      </c>
      <c r="G7" s="14" t="n">
        <f aca="false">IF(C7="MINT",E7,-E7)</f>
        <v>50</v>
      </c>
    </row>
    <row r="8" customFormat="false" ht="15" hidden="false" customHeight="false" outlineLevel="0" collapsed="false">
      <c r="A8" s="12" t="s">
        <v>63</v>
      </c>
      <c r="B8" s="10" t="n">
        <v>46302</v>
      </c>
      <c r="C8" s="12" t="s">
        <v>64</v>
      </c>
      <c r="D8" s="12" t="s">
        <v>29</v>
      </c>
      <c r="E8" s="13" t="n">
        <v>30</v>
      </c>
      <c r="F8" s="12" t="s">
        <v>58</v>
      </c>
      <c r="G8" s="14" t="n">
        <f aca="false">IF(C8="MINT",E8,-E8)</f>
        <v>-30</v>
      </c>
    </row>
    <row r="9" customFormat="false" ht="15" hidden="false" customHeight="false" outlineLevel="0" collapsed="false">
      <c r="A9" s="12" t="s">
        <v>65</v>
      </c>
      <c r="B9" s="10" t="n">
        <v>46302</v>
      </c>
      <c r="C9" s="12" t="s">
        <v>57</v>
      </c>
      <c r="D9" s="12" t="s">
        <v>30</v>
      </c>
      <c r="E9" s="13" t="n">
        <v>200</v>
      </c>
      <c r="F9" s="12" t="s">
        <v>66</v>
      </c>
      <c r="G9" s="14" t="n">
        <f aca="false">IF(C9="MINT",E9,-E9)</f>
        <v>200</v>
      </c>
    </row>
    <row r="10" customFormat="false" ht="15" hidden="false" customHeight="false" outlineLevel="0" collapsed="false">
      <c r="A10" s="12" t="s">
        <v>67</v>
      </c>
      <c r="B10" s="10" t="n">
        <v>46303</v>
      </c>
      <c r="C10" s="12" t="s">
        <v>64</v>
      </c>
      <c r="D10" s="12" t="s">
        <v>30</v>
      </c>
      <c r="E10" s="13" t="n">
        <v>100</v>
      </c>
      <c r="F10" s="12" t="s">
        <v>60</v>
      </c>
      <c r="G10" s="14" t="n">
        <f aca="false">IF(C10="MINT",E10,-E10)</f>
        <v>-100</v>
      </c>
    </row>
    <row r="11" customFormat="false" ht="15" hidden="false" customHeight="false" outlineLevel="0" collapsed="false">
      <c r="A11" s="12" t="s">
        <v>68</v>
      </c>
      <c r="B11" s="10" t="n">
        <v>46303</v>
      </c>
      <c r="C11" s="12" t="s">
        <v>57</v>
      </c>
      <c r="D11" s="12" t="s">
        <v>29</v>
      </c>
      <c r="E11" s="13" t="n">
        <v>40</v>
      </c>
      <c r="F11" s="12" t="s">
        <v>69</v>
      </c>
      <c r="G11" s="14" t="n">
        <f aca="false">IF(C11="MINT",E11,-E11)</f>
        <v>40</v>
      </c>
    </row>
    <row r="12" customFormat="false" ht="15" hidden="false" customHeight="false" outlineLevel="0" collapsed="false">
      <c r="A12" s="12" t="s">
        <v>70</v>
      </c>
      <c r="B12" s="10" t="n">
        <v>46304</v>
      </c>
      <c r="C12" s="12" t="s">
        <v>57</v>
      </c>
      <c r="D12" s="12" t="s">
        <v>30</v>
      </c>
      <c r="E12" s="13" t="n">
        <v>25</v>
      </c>
      <c r="F12" s="12" t="s">
        <v>71</v>
      </c>
      <c r="G12" s="14" t="n">
        <f aca="false">IF(C12="MINT",E12,-E12)</f>
        <v>25</v>
      </c>
    </row>
    <row r="13" customFormat="false" ht="15" hidden="false" customHeight="false" outlineLevel="0" collapsed="false">
      <c r="A13" s="12" t="s">
        <v>72</v>
      </c>
      <c r="B13" s="10" t="n">
        <v>46304</v>
      </c>
      <c r="C13" s="12" t="s">
        <v>64</v>
      </c>
      <c r="D13" s="12" t="s">
        <v>29</v>
      </c>
      <c r="E13" s="13" t="n">
        <v>20</v>
      </c>
      <c r="F13" s="12" t="s">
        <v>62</v>
      </c>
      <c r="G13" s="14" t="n">
        <f aca="false">IF(C13="MINT",E13,-E13)</f>
        <v>-20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1.5" hidden="false" customHeight="true" outlineLevel="0" collapsed="false">
      <c r="A4" s="9" t="s">
        <v>75</v>
      </c>
      <c r="B4" s="9" t="s">
        <v>52</v>
      </c>
      <c r="C4" s="9" t="s">
        <v>76</v>
      </c>
      <c r="D4" s="9" t="s">
        <v>77</v>
      </c>
      <c r="E4" s="9" t="s">
        <v>78</v>
      </c>
      <c r="F4" s="9" t="s">
        <v>79</v>
      </c>
    </row>
    <row r="5" customFormat="false" ht="15" hidden="false" customHeight="false" outlineLevel="0" collapsed="false">
      <c r="A5" s="12" t="s">
        <v>80</v>
      </c>
      <c r="B5" s="12" t="s">
        <v>29</v>
      </c>
      <c r="C5" s="13" t="n">
        <v>100</v>
      </c>
      <c r="D5" s="10" t="n">
        <v>46300</v>
      </c>
      <c r="E5" s="10" t="n">
        <v>46301</v>
      </c>
      <c r="F5" s="15" t="str">
        <f aca="false">IF(E5&lt;=Assumptions!$B$4,"Settled","Pending")</f>
        <v>Settled</v>
      </c>
    </row>
    <row r="6" customFormat="false" ht="15" hidden="false" customHeight="false" outlineLevel="0" collapsed="false">
      <c r="A6" s="12" t="s">
        <v>81</v>
      </c>
      <c r="B6" s="12" t="s">
        <v>30</v>
      </c>
      <c r="C6" s="13" t="n">
        <v>500</v>
      </c>
      <c r="D6" s="10" t="n">
        <v>46300</v>
      </c>
      <c r="E6" s="10" t="n">
        <v>46301</v>
      </c>
      <c r="F6" s="15" t="str">
        <f aca="false">IF(E6&lt;=Assumptions!$B$4,"Settled","Pending")</f>
        <v>Settled</v>
      </c>
    </row>
    <row r="7" customFormat="false" ht="15" hidden="false" customHeight="false" outlineLevel="0" collapsed="false">
      <c r="A7" s="12" t="s">
        <v>82</v>
      </c>
      <c r="B7" s="12" t="s">
        <v>29</v>
      </c>
      <c r="C7" s="13" t="n">
        <v>50</v>
      </c>
      <c r="D7" s="10" t="n">
        <v>46301</v>
      </c>
      <c r="E7" s="10" t="n">
        <v>46302</v>
      </c>
      <c r="F7" s="15" t="str">
        <f aca="false">IF(E7&lt;=Assumptions!$B$4,"Settled","Pending")</f>
        <v>Settled</v>
      </c>
    </row>
    <row r="8" customFormat="false" ht="15" hidden="false" customHeight="false" outlineLevel="0" collapsed="false">
      <c r="A8" s="12" t="s">
        <v>83</v>
      </c>
      <c r="B8" s="12" t="s">
        <v>29</v>
      </c>
      <c r="C8" s="13" t="n">
        <v>-30</v>
      </c>
      <c r="D8" s="10" t="n">
        <v>46302</v>
      </c>
      <c r="E8" s="10" t="n">
        <v>46303</v>
      </c>
      <c r="F8" s="15" t="str">
        <f aca="false">IF(E8&lt;=Assumptions!$B$4,"Settled","Pending")</f>
        <v>Settled</v>
      </c>
    </row>
    <row r="9" customFormat="false" ht="15" hidden="false" customHeight="false" outlineLevel="0" collapsed="false">
      <c r="A9" s="12" t="s">
        <v>84</v>
      </c>
      <c r="B9" s="12" t="s">
        <v>30</v>
      </c>
      <c r="C9" s="13" t="n">
        <v>200</v>
      </c>
      <c r="D9" s="10" t="n">
        <v>46302</v>
      </c>
      <c r="E9" s="10" t="n">
        <v>46303</v>
      </c>
      <c r="F9" s="15" t="str">
        <f aca="false">IF(E9&lt;=Assumptions!$B$4,"Settled","Pending")</f>
        <v>Settled</v>
      </c>
    </row>
    <row r="10" customFormat="false" ht="15" hidden="false" customHeight="false" outlineLevel="0" collapsed="false">
      <c r="A10" s="12" t="s">
        <v>85</v>
      </c>
      <c r="B10" s="12" t="s">
        <v>30</v>
      </c>
      <c r="C10" s="13" t="n">
        <v>-100</v>
      </c>
      <c r="D10" s="10" t="n">
        <v>46303</v>
      </c>
      <c r="E10" s="10" t="n">
        <v>46304</v>
      </c>
      <c r="F10" s="15" t="str">
        <f aca="false">IF(E10&lt;=Assumptions!$B$4,"Settled","Pending")</f>
        <v>Settled</v>
      </c>
    </row>
    <row r="11" customFormat="false" ht="15" hidden="false" customHeight="false" outlineLevel="0" collapsed="false">
      <c r="A11" s="12" t="s">
        <v>86</v>
      </c>
      <c r="B11" s="12" t="s">
        <v>29</v>
      </c>
      <c r="C11" s="13" t="n">
        <v>40</v>
      </c>
      <c r="D11" s="10" t="n">
        <v>46303</v>
      </c>
      <c r="E11" s="10" t="n">
        <v>46304</v>
      </c>
      <c r="F11" s="15" t="str">
        <f aca="false">IF(E11&lt;=Assumptions!$B$4,"Settled","Pending")</f>
        <v>Settled</v>
      </c>
    </row>
    <row r="12" customFormat="false" ht="15" hidden="false" customHeight="false" outlineLevel="0" collapsed="false">
      <c r="A12" s="12" t="s">
        <v>87</v>
      </c>
      <c r="B12" s="12" t="s">
        <v>30</v>
      </c>
      <c r="C12" s="13" t="n">
        <v>25</v>
      </c>
      <c r="D12" s="10" t="n">
        <v>46304</v>
      </c>
      <c r="E12" s="10" t="n">
        <v>46307</v>
      </c>
      <c r="F12" s="15" t="str">
        <f aca="false">IF(E12&lt;=Assumptions!$B$4,"Settled","Pending")</f>
        <v>Pending</v>
      </c>
    </row>
    <row r="13" customFormat="false" ht="15" hidden="false" customHeight="false" outlineLevel="0" collapsed="false">
      <c r="A13" s="12" t="s">
        <v>88</v>
      </c>
      <c r="B13" s="12" t="s">
        <v>29</v>
      </c>
      <c r="C13" s="13" t="n">
        <v>-20</v>
      </c>
      <c r="D13" s="10" t="n">
        <v>46304</v>
      </c>
      <c r="E13" s="10" t="n">
        <v>46307</v>
      </c>
      <c r="F13" s="15" t="str">
        <f aca="false">IF(E13&lt;=Assumptions!$B$4,"Settled","Pending")</f>
        <v>Pending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2" min="10" style="0" width="13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31.5" hidden="false" customHeight="true" outlineLevel="0" collapsed="false">
      <c r="A4" s="9" t="s">
        <v>91</v>
      </c>
      <c r="B4" s="9" t="s">
        <v>28</v>
      </c>
      <c r="C4" s="9" t="s">
        <v>92</v>
      </c>
      <c r="D4" s="9" t="s">
        <v>93</v>
      </c>
      <c r="E4" s="9" t="s">
        <v>94</v>
      </c>
      <c r="F4" s="9" t="s">
        <v>34</v>
      </c>
      <c r="G4" s="9" t="s">
        <v>52</v>
      </c>
      <c r="H4" s="9" t="s">
        <v>55</v>
      </c>
      <c r="I4" s="9" t="s">
        <v>95</v>
      </c>
      <c r="J4" s="9" t="s">
        <v>96</v>
      </c>
      <c r="K4" s="9" t="s">
        <v>97</v>
      </c>
      <c r="L4" s="9" t="s">
        <v>98</v>
      </c>
      <c r="M4" s="9" t="s">
        <v>99</v>
      </c>
    </row>
    <row r="5" customFormat="false" ht="15" hidden="false" customHeight="false" outlineLevel="0" collapsed="false">
      <c r="A5" s="8" t="n">
        <v>1</v>
      </c>
      <c r="B5" s="16" t="n">
        <v>46300</v>
      </c>
      <c r="C5" s="8" t="s">
        <v>56</v>
      </c>
      <c r="D5" s="8" t="s">
        <v>100</v>
      </c>
      <c r="E5" s="8" t="n">
        <v>1000</v>
      </c>
      <c r="F5" s="17" t="str">
        <f aca="false">INDEX(COA!$B$5:$B$12,MATCH(E5,COA!$A$5:$A$12,0))</f>
        <v>Cash</v>
      </c>
      <c r="J5" s="18" t="n">
        <f aca="false">J6+J7</f>
        <v>21105</v>
      </c>
      <c r="K5" s="18" t="n">
        <f aca="false">J5</f>
        <v>21105</v>
      </c>
      <c r="L5" s="18"/>
      <c r="M5" s="17" t="str">
        <f aca="false">IF(ROUND(SUMIFS($K$5:$K$300,$A$5:$A$300,A5)-SUMIFS($L$5:$L$300,$A$5:$A$300,A5),2)=0,"OK","UNBALANCED")</f>
        <v>OK</v>
      </c>
    </row>
    <row r="6" customFormat="false" ht="15" hidden="false" customHeight="false" outlineLevel="0" collapsed="false">
      <c r="A6" s="8" t="n">
        <v>1</v>
      </c>
      <c r="B6" s="16" t="n">
        <v>46300</v>
      </c>
      <c r="C6" s="8" t="s">
        <v>56</v>
      </c>
      <c r="D6" s="8" t="s">
        <v>100</v>
      </c>
      <c r="E6" s="8" t="n">
        <v>2000</v>
      </c>
      <c r="F6" s="17" t="str">
        <f aca="false">INDEX(COA!$B$5:$B$12,MATCH(E6,COA!$A$5:$A$12,0))</f>
        <v>Token liability (FVTPL)</v>
      </c>
      <c r="G6" s="8" t="s">
        <v>29</v>
      </c>
      <c r="H6" s="19" t="n">
        <v>100</v>
      </c>
      <c r="I6" s="18" t="n">
        <f aca="false">IF(G6="","",INDEX(Assumptions!$B$9:$C$13,MATCH(B6,Assumptions!$A$9:$A$13,0),MATCH(G6,Assumptions!$B$8:$C$8,0)))</f>
        <v>210</v>
      </c>
      <c r="J6" s="18" t="n">
        <f aca="false">ROUND(ABS(H6)*I6,2)</f>
        <v>21000</v>
      </c>
      <c r="K6" s="18"/>
      <c r="L6" s="18" t="n">
        <f aca="false">J6</f>
        <v>21000</v>
      </c>
      <c r="M6" s="17" t="str">
        <f aca="false">IF(ROUND(SUMIFS($K$5:$K$300,$A$5:$A$300,A6)-SUMIFS($L$5:$L$300,$A$5:$A$300,A6),2)=0,"OK","UNBALANCED")</f>
        <v>OK</v>
      </c>
    </row>
    <row r="7" customFormat="false" ht="15" hidden="false" customHeight="false" outlineLevel="0" collapsed="false">
      <c r="A7" s="8" t="n">
        <v>1</v>
      </c>
      <c r="B7" s="16" t="n">
        <v>46300</v>
      </c>
      <c r="C7" s="8" t="s">
        <v>56</v>
      </c>
      <c r="D7" s="8" t="s">
        <v>100</v>
      </c>
      <c r="E7" s="8" t="n">
        <v>4000</v>
      </c>
      <c r="F7" s="17" t="str">
        <f aca="false">INDEX(COA!$B$5:$B$12,MATCH(E7,COA!$A$5:$A$12,0))</f>
        <v>Fee income</v>
      </c>
      <c r="J7" s="18" t="n">
        <f aca="false">ROUND(J6*Assumptions!$B$3,2)</f>
        <v>105</v>
      </c>
      <c r="K7" s="18"/>
      <c r="L7" s="18" t="n">
        <f aca="false">J7</f>
        <v>105</v>
      </c>
      <c r="M7" s="17" t="str">
        <f aca="false">IF(ROUND(SUMIFS($K$5:$K$300,$A$5:$A$300,A7)-SUMIFS($L$5:$L$300,$A$5:$A$300,A7),2)=0,"OK","UNBALANCED")</f>
        <v>OK</v>
      </c>
    </row>
    <row r="8" customFormat="false" ht="15" hidden="false" customHeight="false" outlineLevel="0" collapsed="false">
      <c r="A8" s="8" t="n">
        <v>2</v>
      </c>
      <c r="B8" s="16" t="n">
        <v>46300</v>
      </c>
      <c r="C8" s="8" t="s">
        <v>80</v>
      </c>
      <c r="D8" s="8" t="s">
        <v>101</v>
      </c>
      <c r="E8" s="8" t="n">
        <v>1100</v>
      </c>
      <c r="F8" s="17" t="str">
        <f aca="false">INDEX(COA!$B$5:$B$12,MATCH(E8,COA!$A$5:$A$12,0))</f>
        <v>Investments in underlying shares (FVTPL)</v>
      </c>
      <c r="G8" s="8" t="s">
        <v>29</v>
      </c>
      <c r="H8" s="19" t="n">
        <v>100</v>
      </c>
      <c r="I8" s="18" t="n">
        <f aca="false">IF(G8="","",INDEX(Assumptions!$B$9:$C$13,MATCH(B8,Assumptions!$A$9:$A$13,0),MATCH(G8,Assumptions!$B$8:$C$8,0)))</f>
        <v>210</v>
      </c>
      <c r="J8" s="18" t="n">
        <f aca="false">ROUND(ABS(H8)*I8,2)</f>
        <v>21000</v>
      </c>
      <c r="K8" s="18" t="n">
        <f aca="false">J8</f>
        <v>21000</v>
      </c>
      <c r="L8" s="18"/>
      <c r="M8" s="17" t="str">
        <f aca="false">IF(ROUND(SUMIFS($K$5:$K$300,$A$5:$A$300,A8)-SUMIFS($L$5:$L$300,$A$5:$A$300,A8),2)=0,"OK","UNBALANCED")</f>
        <v>OK</v>
      </c>
    </row>
    <row r="9" customFormat="false" ht="15" hidden="false" customHeight="false" outlineLevel="0" collapsed="false">
      <c r="A9" s="8" t="n">
        <v>2</v>
      </c>
      <c r="B9" s="16" t="n">
        <v>46300</v>
      </c>
      <c r="C9" s="8" t="s">
        <v>80</v>
      </c>
      <c r="D9" s="8" t="s">
        <v>101</v>
      </c>
      <c r="E9" s="8" t="n">
        <v>2100</v>
      </c>
      <c r="F9" s="17" t="str">
        <f aca="false">INDEX(COA!$B$5:$B$12,MATCH(E9,COA!$A$5:$A$12,0))</f>
        <v>Due to broker (unsettled purchases)</v>
      </c>
      <c r="J9" s="18"/>
      <c r="K9" s="18"/>
      <c r="L9" s="18" t="n">
        <f aca="false">J8</f>
        <v>21000</v>
      </c>
      <c r="M9" s="17" t="str">
        <f aca="false">IF(ROUND(SUMIFS($K$5:$K$300,$A$5:$A$300,A9)-SUMIFS($L$5:$L$300,$A$5:$A$300,A9),2)=0,"OK","UNBALANCED")</f>
        <v>OK</v>
      </c>
    </row>
    <row r="10" customFormat="false" ht="15" hidden="false" customHeight="false" outlineLevel="0" collapsed="false">
      <c r="A10" s="8" t="n">
        <v>3</v>
      </c>
      <c r="B10" s="16" t="n">
        <v>46300</v>
      </c>
      <c r="C10" s="8" t="s">
        <v>59</v>
      </c>
      <c r="D10" s="8" t="s">
        <v>102</v>
      </c>
      <c r="E10" s="8" t="n">
        <v>1000</v>
      </c>
      <c r="F10" s="17" t="str">
        <f aca="false">INDEX(COA!$B$5:$B$12,MATCH(E10,COA!$A$5:$A$12,0))</f>
        <v>Cash</v>
      </c>
      <c r="J10" s="18" t="n">
        <f aca="false">J11+J12</f>
        <v>60300</v>
      </c>
      <c r="K10" s="18" t="n">
        <f aca="false">J10</f>
        <v>60300</v>
      </c>
      <c r="L10" s="18"/>
      <c r="M10" s="17" t="str">
        <f aca="false">IF(ROUND(SUMIFS($K$5:$K$300,$A$5:$A$300,A10)-SUMIFS($L$5:$L$300,$A$5:$A$300,A10),2)=0,"OK","UNBALANCED")</f>
        <v>OK</v>
      </c>
    </row>
    <row r="11" customFormat="false" ht="15" hidden="false" customHeight="false" outlineLevel="0" collapsed="false">
      <c r="A11" s="8" t="n">
        <v>3</v>
      </c>
      <c r="B11" s="16" t="n">
        <v>46300</v>
      </c>
      <c r="C11" s="8" t="s">
        <v>59</v>
      </c>
      <c r="D11" s="8" t="s">
        <v>102</v>
      </c>
      <c r="E11" s="8" t="n">
        <v>2000</v>
      </c>
      <c r="F11" s="17" t="str">
        <f aca="false">INDEX(COA!$B$5:$B$12,MATCH(E11,COA!$A$5:$A$12,0))</f>
        <v>Token liability (FVTPL)</v>
      </c>
      <c r="G11" s="8" t="s">
        <v>30</v>
      </c>
      <c r="H11" s="19" t="n">
        <v>500</v>
      </c>
      <c r="I11" s="18" t="n">
        <f aca="false">IF(G11="","",INDEX(Assumptions!$B$9:$C$13,MATCH(B11,Assumptions!$A$9:$A$13,0),MATCH(G11,Assumptions!$B$8:$C$8,0)))</f>
        <v>120</v>
      </c>
      <c r="J11" s="18" t="n">
        <f aca="false">ROUND(ABS(H11)*I11,2)</f>
        <v>60000</v>
      </c>
      <c r="K11" s="18"/>
      <c r="L11" s="18" t="n">
        <f aca="false">J11</f>
        <v>60000</v>
      </c>
      <c r="M11" s="17" t="str">
        <f aca="false">IF(ROUND(SUMIFS($K$5:$K$300,$A$5:$A$300,A11)-SUMIFS($L$5:$L$300,$A$5:$A$300,A11),2)=0,"OK","UNBALANCED")</f>
        <v>OK</v>
      </c>
    </row>
    <row r="12" customFormat="false" ht="15" hidden="false" customHeight="false" outlineLevel="0" collapsed="false">
      <c r="A12" s="8" t="n">
        <v>3</v>
      </c>
      <c r="B12" s="16" t="n">
        <v>46300</v>
      </c>
      <c r="C12" s="8" t="s">
        <v>59</v>
      </c>
      <c r="D12" s="8" t="s">
        <v>102</v>
      </c>
      <c r="E12" s="8" t="n">
        <v>4000</v>
      </c>
      <c r="F12" s="17" t="str">
        <f aca="false">INDEX(COA!$B$5:$B$12,MATCH(E12,COA!$A$5:$A$12,0))</f>
        <v>Fee income</v>
      </c>
      <c r="J12" s="18" t="n">
        <f aca="false">ROUND(J11*Assumptions!$B$3,2)</f>
        <v>300</v>
      </c>
      <c r="K12" s="18"/>
      <c r="L12" s="18" t="n">
        <f aca="false">J12</f>
        <v>300</v>
      </c>
      <c r="M12" s="17" t="str">
        <f aca="false">IF(ROUND(SUMIFS($K$5:$K$300,$A$5:$A$300,A12)-SUMIFS($L$5:$L$300,$A$5:$A$300,A12),2)=0,"OK","UNBALANCED")</f>
        <v>OK</v>
      </c>
    </row>
    <row r="13" customFormat="false" ht="15" hidden="false" customHeight="false" outlineLevel="0" collapsed="false">
      <c r="A13" s="8" t="n">
        <v>4</v>
      </c>
      <c r="B13" s="16" t="n">
        <v>46300</v>
      </c>
      <c r="C13" s="8" t="s">
        <v>81</v>
      </c>
      <c r="D13" s="8" t="s">
        <v>103</v>
      </c>
      <c r="E13" s="8" t="n">
        <v>1100</v>
      </c>
      <c r="F13" s="17" t="str">
        <f aca="false">INDEX(COA!$B$5:$B$12,MATCH(E13,COA!$A$5:$A$12,0))</f>
        <v>Investments in underlying shares (FVTPL)</v>
      </c>
      <c r="G13" s="8" t="s">
        <v>30</v>
      </c>
      <c r="H13" s="19" t="n">
        <v>500</v>
      </c>
      <c r="I13" s="18" t="n">
        <f aca="false">IF(G13="","",INDEX(Assumptions!$B$9:$C$13,MATCH(B13,Assumptions!$A$9:$A$13,0),MATCH(G13,Assumptions!$B$8:$C$8,0)))</f>
        <v>120</v>
      </c>
      <c r="J13" s="18" t="n">
        <f aca="false">ROUND(ABS(H13)*I13,2)</f>
        <v>60000</v>
      </c>
      <c r="K13" s="18" t="n">
        <f aca="false">J13</f>
        <v>60000</v>
      </c>
      <c r="L13" s="18"/>
      <c r="M13" s="17" t="str">
        <f aca="false">IF(ROUND(SUMIFS($K$5:$K$300,$A$5:$A$300,A13)-SUMIFS($L$5:$L$300,$A$5:$A$300,A13),2)=0,"OK","UNBALANCED")</f>
        <v>OK</v>
      </c>
    </row>
    <row r="14" customFormat="false" ht="15" hidden="false" customHeight="false" outlineLevel="0" collapsed="false">
      <c r="A14" s="8" t="n">
        <v>4</v>
      </c>
      <c r="B14" s="16" t="n">
        <v>46300</v>
      </c>
      <c r="C14" s="8" t="s">
        <v>81</v>
      </c>
      <c r="D14" s="8" t="s">
        <v>103</v>
      </c>
      <c r="E14" s="8" t="n">
        <v>2100</v>
      </c>
      <c r="F14" s="17" t="str">
        <f aca="false">INDEX(COA!$B$5:$B$12,MATCH(E14,COA!$A$5:$A$12,0))</f>
        <v>Due to broker (unsettled purchases)</v>
      </c>
      <c r="J14" s="18"/>
      <c r="K14" s="18"/>
      <c r="L14" s="18" t="n">
        <f aca="false">J13</f>
        <v>60000</v>
      </c>
      <c r="M14" s="17" t="str">
        <f aca="false">IF(ROUND(SUMIFS($K$5:$K$300,$A$5:$A$300,A14)-SUMIFS($L$5:$L$300,$A$5:$A$300,A14),2)=0,"OK","UNBALANCED")</f>
        <v>OK</v>
      </c>
    </row>
    <row r="15" customFormat="false" ht="15" hidden="false" customHeight="false" outlineLevel="0" collapsed="false">
      <c r="A15" s="8" t="n">
        <v>5</v>
      </c>
      <c r="B15" s="16" t="n">
        <v>46301</v>
      </c>
      <c r="C15" s="8" t="s">
        <v>104</v>
      </c>
      <c r="D15" s="8" t="s">
        <v>105</v>
      </c>
      <c r="E15" s="8" t="n">
        <v>2100</v>
      </c>
      <c r="F15" s="17" t="str">
        <f aca="false">INDEX(COA!$B$5:$B$12,MATCH(E15,COA!$A$5:$A$12,0))</f>
        <v>Due to broker (unsettled purchases)</v>
      </c>
      <c r="J15" s="18" t="n">
        <f aca="false">J8</f>
        <v>21000</v>
      </c>
      <c r="K15" s="18" t="n">
        <f aca="false">J15</f>
        <v>21000</v>
      </c>
      <c r="L15" s="18"/>
      <c r="M15" s="17" t="str">
        <f aca="false">IF(ROUND(SUMIFS($K$5:$K$300,$A$5:$A$300,A15)-SUMIFS($L$5:$L$300,$A$5:$A$300,A15),2)=0,"OK","UNBALANCED")</f>
        <v>OK</v>
      </c>
    </row>
    <row r="16" customFormat="false" ht="15" hidden="false" customHeight="false" outlineLevel="0" collapsed="false">
      <c r="A16" s="8" t="n">
        <v>5</v>
      </c>
      <c r="B16" s="16" t="n">
        <v>46301</v>
      </c>
      <c r="C16" s="8" t="s">
        <v>104</v>
      </c>
      <c r="D16" s="8" t="s">
        <v>105</v>
      </c>
      <c r="E16" s="8" t="n">
        <v>1000</v>
      </c>
      <c r="F16" s="17" t="str">
        <f aca="false">INDEX(COA!$B$5:$B$12,MATCH(E16,COA!$A$5:$A$12,0))</f>
        <v>Cash</v>
      </c>
      <c r="J16" s="18"/>
      <c r="K16" s="18"/>
      <c r="L16" s="18" t="n">
        <f aca="false">J15</f>
        <v>21000</v>
      </c>
      <c r="M16" s="17" t="str">
        <f aca="false">IF(ROUND(SUMIFS($K$5:$K$300,$A$5:$A$300,A16)-SUMIFS($L$5:$L$300,$A$5:$A$300,A16),2)=0,"OK","UNBALANCED")</f>
        <v>OK</v>
      </c>
    </row>
    <row r="17" customFormat="false" ht="15" hidden="false" customHeight="false" outlineLevel="0" collapsed="false">
      <c r="A17" s="8" t="n">
        <v>6</v>
      </c>
      <c r="B17" s="16" t="n">
        <v>46301</v>
      </c>
      <c r="C17" s="8" t="s">
        <v>106</v>
      </c>
      <c r="D17" s="8" t="s">
        <v>105</v>
      </c>
      <c r="E17" s="8" t="n">
        <v>2100</v>
      </c>
      <c r="F17" s="17" t="str">
        <f aca="false">INDEX(COA!$B$5:$B$12,MATCH(E17,COA!$A$5:$A$12,0))</f>
        <v>Due to broker (unsettled purchases)</v>
      </c>
      <c r="J17" s="18" t="n">
        <f aca="false">J13</f>
        <v>60000</v>
      </c>
      <c r="K17" s="18" t="n">
        <f aca="false">J17</f>
        <v>60000</v>
      </c>
      <c r="L17" s="18"/>
      <c r="M17" s="17" t="str">
        <f aca="false">IF(ROUND(SUMIFS($K$5:$K$300,$A$5:$A$300,A17)-SUMIFS($L$5:$L$300,$A$5:$A$300,A17),2)=0,"OK","UNBALANCED")</f>
        <v>OK</v>
      </c>
    </row>
    <row r="18" customFormat="false" ht="15" hidden="false" customHeight="false" outlineLevel="0" collapsed="false">
      <c r="A18" s="8" t="n">
        <v>6</v>
      </c>
      <c r="B18" s="16" t="n">
        <v>46301</v>
      </c>
      <c r="C18" s="8" t="s">
        <v>106</v>
      </c>
      <c r="D18" s="8" t="s">
        <v>105</v>
      </c>
      <c r="E18" s="8" t="n">
        <v>1000</v>
      </c>
      <c r="F18" s="17" t="str">
        <f aca="false">INDEX(COA!$B$5:$B$12,MATCH(E18,COA!$A$5:$A$12,0))</f>
        <v>Cash</v>
      </c>
      <c r="J18" s="18"/>
      <c r="K18" s="18"/>
      <c r="L18" s="18" t="n">
        <f aca="false">J17</f>
        <v>60000</v>
      </c>
      <c r="M18" s="17" t="str">
        <f aca="false">IF(ROUND(SUMIFS($K$5:$K$300,$A$5:$A$300,A18)-SUMIFS($L$5:$L$300,$A$5:$A$300,A18),2)=0,"OK","UNBALANCED")</f>
        <v>OK</v>
      </c>
    </row>
    <row r="19" customFormat="false" ht="15" hidden="false" customHeight="false" outlineLevel="0" collapsed="false">
      <c r="A19" s="8" t="n">
        <v>7</v>
      </c>
      <c r="B19" s="16" t="n">
        <v>46301</v>
      </c>
      <c r="C19" s="8" t="s">
        <v>107</v>
      </c>
      <c r="D19" s="8" t="s">
        <v>108</v>
      </c>
      <c r="E19" s="8" t="n">
        <v>1100</v>
      </c>
      <c r="F19" s="17" t="str">
        <f aca="false">INDEX(COA!$B$5:$B$12,MATCH(E19,COA!$A$5:$A$12,0))</f>
        <v>Investments in underlying shares (FVTPL)</v>
      </c>
      <c r="G19" s="8" t="s">
        <v>29</v>
      </c>
      <c r="H19" s="19" t="n">
        <v>0</v>
      </c>
      <c r="I19" s="18" t="n">
        <f aca="false">IF(G19="","",INDEX(Assumptions!$B$9:$C$13,MATCH(B19,Assumptions!$A$9:$A$13,0),MATCH(G19,Assumptions!$B$8:$C$8,0)))</f>
        <v>212</v>
      </c>
      <c r="J19" s="18" t="n">
        <f aca="false">ROUND(SUMIFS($H$5:$H$300,$E$5:$E$300,1100,$G$5:$G$300,G19,$B$5:$B$300,"&lt;"&amp;B19)*(I19-INDEX(Assumptions!$B$9:$C$13,MATCH(B19,Assumptions!$A$9:$A$13,0)-1,MATCH(G19,Assumptions!$B$8:$C$8,0))),2)</f>
        <v>200</v>
      </c>
      <c r="K19" s="18" t="n">
        <f aca="false">MAX(J19,0)</f>
        <v>200</v>
      </c>
      <c r="L19" s="18" t="n">
        <f aca="false">MAX(-J19,0)</f>
        <v>0</v>
      </c>
      <c r="M19" s="17" t="str">
        <f aca="false">IF(ROUND(SUMIFS($K$5:$K$300,$A$5:$A$300,A19)-SUMIFS($L$5:$L$300,$A$5:$A$300,A19),2)=0,"OK","UNBALANCED")</f>
        <v>OK</v>
      </c>
    </row>
    <row r="20" customFormat="false" ht="15" hidden="false" customHeight="false" outlineLevel="0" collapsed="false">
      <c r="A20" s="8" t="n">
        <v>7</v>
      </c>
      <c r="B20" s="16" t="n">
        <v>46301</v>
      </c>
      <c r="C20" s="8" t="s">
        <v>107</v>
      </c>
      <c r="D20" s="8" t="s">
        <v>108</v>
      </c>
      <c r="E20" s="8" t="n">
        <v>4100</v>
      </c>
      <c r="F20" s="17" t="str">
        <f aca="false">INDEX(COA!$B$5:$B$12,MATCH(E20,COA!$A$5:$A$12,0))</f>
        <v>FV gain/loss - underlying investments</v>
      </c>
      <c r="J20" s="18" t="n">
        <f aca="false">J19</f>
        <v>200</v>
      </c>
      <c r="K20" s="18" t="n">
        <f aca="false">MAX(-J20,0)</f>
        <v>0</v>
      </c>
      <c r="L20" s="18" t="n">
        <f aca="false">MAX(J20,0)</f>
        <v>200</v>
      </c>
      <c r="M20" s="17" t="str">
        <f aca="false">IF(ROUND(SUMIFS($K$5:$K$300,$A$5:$A$300,A20)-SUMIFS($L$5:$L$300,$A$5:$A$300,A20),2)=0,"OK","UNBALANCED")</f>
        <v>OK</v>
      </c>
    </row>
    <row r="21" customFormat="false" ht="15" hidden="false" customHeight="false" outlineLevel="0" collapsed="false">
      <c r="A21" s="8" t="n">
        <v>7</v>
      </c>
      <c r="B21" s="16" t="n">
        <v>46301</v>
      </c>
      <c r="C21" s="8" t="s">
        <v>107</v>
      </c>
      <c r="D21" s="8" t="s">
        <v>108</v>
      </c>
      <c r="E21" s="8" t="n">
        <v>2000</v>
      </c>
      <c r="F21" s="17" t="str">
        <f aca="false">INDEX(COA!$B$5:$B$12,MATCH(E21,COA!$A$5:$A$12,0))</f>
        <v>Token liability (FVTPL)</v>
      </c>
      <c r="G21" s="8" t="s">
        <v>29</v>
      </c>
      <c r="H21" s="19" t="n">
        <v>0</v>
      </c>
      <c r="I21" s="18" t="n">
        <f aca="false">IF(G21="","",INDEX(Assumptions!$B$9:$C$13,MATCH(B21,Assumptions!$A$9:$A$13,0),MATCH(G21,Assumptions!$B$8:$C$8,0)))</f>
        <v>212</v>
      </c>
      <c r="J21" s="18" t="n">
        <f aca="false">ROUND(SUMIFS($H$5:$H$300,$E$5:$E$300,2000,$G$5:$G$300,G21,$B$5:$B$300,"&lt;"&amp;B21)*(I21-INDEX(Assumptions!$B$9:$C$13,MATCH(B19,Assumptions!$A$9:$A$13,0)-1,MATCH(G19,Assumptions!$B$8:$C$8,0))),2)</f>
        <v>200</v>
      </c>
      <c r="K21" s="18" t="n">
        <f aca="false">MAX(-J21,0)</f>
        <v>0</v>
      </c>
      <c r="L21" s="18" t="n">
        <f aca="false">MAX(J21,0)</f>
        <v>200</v>
      </c>
      <c r="M21" s="17" t="str">
        <f aca="false">IF(ROUND(SUMIFS($K$5:$K$300,$A$5:$A$300,A21)-SUMIFS($L$5:$L$300,$A$5:$A$300,A21),2)=0,"OK","UNBALANCED")</f>
        <v>OK</v>
      </c>
    </row>
    <row r="22" customFormat="false" ht="15" hidden="false" customHeight="false" outlineLevel="0" collapsed="false">
      <c r="A22" s="8" t="n">
        <v>7</v>
      </c>
      <c r="B22" s="16" t="n">
        <v>46301</v>
      </c>
      <c r="C22" s="8" t="s">
        <v>107</v>
      </c>
      <c r="D22" s="8" t="s">
        <v>108</v>
      </c>
      <c r="E22" s="8" t="n">
        <v>4200</v>
      </c>
      <c r="F22" s="17" t="str">
        <f aca="false">INDEX(COA!$B$5:$B$12,MATCH(E22,COA!$A$5:$A$12,0))</f>
        <v>FV gain/loss - token liability</v>
      </c>
      <c r="J22" s="18" t="n">
        <f aca="false">J21</f>
        <v>200</v>
      </c>
      <c r="K22" s="18" t="n">
        <f aca="false">MAX(J22,0)</f>
        <v>200</v>
      </c>
      <c r="L22" s="18" t="n">
        <f aca="false">MAX(-J22,0)</f>
        <v>0</v>
      </c>
      <c r="M22" s="17" t="str">
        <f aca="false">IF(ROUND(SUMIFS($K$5:$K$300,$A$5:$A$300,A22)-SUMIFS($L$5:$L$300,$A$5:$A$300,A22),2)=0,"OK","UNBALANCED")</f>
        <v>OK</v>
      </c>
    </row>
    <row r="23" customFormat="false" ht="15" hidden="false" customHeight="false" outlineLevel="0" collapsed="false">
      <c r="A23" s="8" t="n">
        <v>8</v>
      </c>
      <c r="B23" s="16" t="n">
        <v>46301</v>
      </c>
      <c r="C23" s="8" t="s">
        <v>109</v>
      </c>
      <c r="D23" s="8" t="s">
        <v>110</v>
      </c>
      <c r="E23" s="8" t="n">
        <v>1100</v>
      </c>
      <c r="F23" s="17" t="str">
        <f aca="false">INDEX(COA!$B$5:$B$12,MATCH(E23,COA!$A$5:$A$12,0))</f>
        <v>Investments in underlying shares (FVTPL)</v>
      </c>
      <c r="G23" s="8" t="s">
        <v>30</v>
      </c>
      <c r="H23" s="19" t="n">
        <v>0</v>
      </c>
      <c r="I23" s="18" t="n">
        <f aca="false">IF(G23="","",INDEX(Assumptions!$B$9:$C$13,MATCH(B23,Assumptions!$A$9:$A$13,0),MATCH(G23,Assumptions!$B$8:$C$8,0)))</f>
        <v>118</v>
      </c>
      <c r="J23" s="18" t="n">
        <f aca="false">ROUND(SUMIFS($H$5:$H$300,$E$5:$E$300,1100,$G$5:$G$300,G23,$B$5:$B$300,"&lt;"&amp;B23)*(I23-INDEX(Assumptions!$B$9:$C$13,MATCH(B23,Assumptions!$A$9:$A$13,0)-1,MATCH(G23,Assumptions!$B$8:$C$8,0))),2)</f>
        <v>-1000</v>
      </c>
      <c r="K23" s="18" t="n">
        <f aca="false">MAX(J23,0)</f>
        <v>0</v>
      </c>
      <c r="L23" s="18" t="n">
        <f aca="false">MAX(-J23,0)</f>
        <v>1000</v>
      </c>
      <c r="M23" s="17" t="str">
        <f aca="false">IF(ROUND(SUMIFS($K$5:$K$300,$A$5:$A$300,A23)-SUMIFS($L$5:$L$300,$A$5:$A$300,A23),2)=0,"OK","UNBALANCED")</f>
        <v>OK</v>
      </c>
    </row>
    <row r="24" customFormat="false" ht="15" hidden="false" customHeight="false" outlineLevel="0" collapsed="false">
      <c r="A24" s="8" t="n">
        <v>8</v>
      </c>
      <c r="B24" s="16" t="n">
        <v>46301</v>
      </c>
      <c r="C24" s="8" t="s">
        <v>109</v>
      </c>
      <c r="D24" s="8" t="s">
        <v>110</v>
      </c>
      <c r="E24" s="8" t="n">
        <v>4100</v>
      </c>
      <c r="F24" s="17" t="str">
        <f aca="false">INDEX(COA!$B$5:$B$12,MATCH(E24,COA!$A$5:$A$12,0))</f>
        <v>FV gain/loss - underlying investments</v>
      </c>
      <c r="J24" s="18" t="n">
        <f aca="false">J23</f>
        <v>-1000</v>
      </c>
      <c r="K24" s="18" t="n">
        <f aca="false">MAX(-J24,0)</f>
        <v>1000</v>
      </c>
      <c r="L24" s="18" t="n">
        <f aca="false">MAX(J24,0)</f>
        <v>0</v>
      </c>
      <c r="M24" s="17" t="str">
        <f aca="false">IF(ROUND(SUMIFS($K$5:$K$300,$A$5:$A$300,A24)-SUMIFS($L$5:$L$300,$A$5:$A$300,A24),2)=0,"OK","UNBALANCED")</f>
        <v>OK</v>
      </c>
    </row>
    <row r="25" customFormat="false" ht="15" hidden="false" customHeight="false" outlineLevel="0" collapsed="false">
      <c r="A25" s="8" t="n">
        <v>8</v>
      </c>
      <c r="B25" s="16" t="n">
        <v>46301</v>
      </c>
      <c r="C25" s="8" t="s">
        <v>109</v>
      </c>
      <c r="D25" s="8" t="s">
        <v>110</v>
      </c>
      <c r="E25" s="8" t="n">
        <v>2000</v>
      </c>
      <c r="F25" s="17" t="str">
        <f aca="false">INDEX(COA!$B$5:$B$12,MATCH(E25,COA!$A$5:$A$12,0))</f>
        <v>Token liability (FVTPL)</v>
      </c>
      <c r="G25" s="8" t="s">
        <v>30</v>
      </c>
      <c r="H25" s="19" t="n">
        <v>0</v>
      </c>
      <c r="I25" s="18" t="n">
        <f aca="false">IF(G25="","",INDEX(Assumptions!$B$9:$C$13,MATCH(B25,Assumptions!$A$9:$A$13,0),MATCH(G25,Assumptions!$B$8:$C$8,0)))</f>
        <v>118</v>
      </c>
      <c r="J25" s="18" t="n">
        <f aca="false">ROUND(SUMIFS($H$5:$H$300,$E$5:$E$300,2000,$G$5:$G$300,G25,$B$5:$B$300,"&lt;"&amp;B25)*(I25-INDEX(Assumptions!$B$9:$C$13,MATCH(B23,Assumptions!$A$9:$A$13,0)-1,MATCH(G23,Assumptions!$B$8:$C$8,0))),2)</f>
        <v>-1000</v>
      </c>
      <c r="K25" s="18" t="n">
        <f aca="false">MAX(-J25,0)</f>
        <v>1000</v>
      </c>
      <c r="L25" s="18" t="n">
        <f aca="false">MAX(J25,0)</f>
        <v>0</v>
      </c>
      <c r="M25" s="17" t="str">
        <f aca="false">IF(ROUND(SUMIFS($K$5:$K$300,$A$5:$A$300,A25)-SUMIFS($L$5:$L$300,$A$5:$A$300,A25),2)=0,"OK","UNBALANCED")</f>
        <v>OK</v>
      </c>
    </row>
    <row r="26" customFormat="false" ht="15" hidden="false" customHeight="false" outlineLevel="0" collapsed="false">
      <c r="A26" s="8" t="n">
        <v>8</v>
      </c>
      <c r="B26" s="16" t="n">
        <v>46301</v>
      </c>
      <c r="C26" s="8" t="s">
        <v>109</v>
      </c>
      <c r="D26" s="8" t="s">
        <v>110</v>
      </c>
      <c r="E26" s="8" t="n">
        <v>4200</v>
      </c>
      <c r="F26" s="17" t="str">
        <f aca="false">INDEX(COA!$B$5:$B$12,MATCH(E26,COA!$A$5:$A$12,0))</f>
        <v>FV gain/loss - token liability</v>
      </c>
      <c r="J26" s="18" t="n">
        <f aca="false">J25</f>
        <v>-1000</v>
      </c>
      <c r="K26" s="18" t="n">
        <f aca="false">MAX(J26,0)</f>
        <v>0</v>
      </c>
      <c r="L26" s="18" t="n">
        <f aca="false">MAX(-J26,0)</f>
        <v>1000</v>
      </c>
      <c r="M26" s="17" t="str">
        <f aca="false">IF(ROUND(SUMIFS($K$5:$K$300,$A$5:$A$300,A26)-SUMIFS($L$5:$L$300,$A$5:$A$300,A26),2)=0,"OK","UNBALANCED")</f>
        <v>OK</v>
      </c>
    </row>
    <row r="27" customFormat="false" ht="15" hidden="false" customHeight="false" outlineLevel="0" collapsed="false">
      <c r="A27" s="8" t="n">
        <v>9</v>
      </c>
      <c r="B27" s="16" t="n">
        <v>46301</v>
      </c>
      <c r="C27" s="8" t="s">
        <v>61</v>
      </c>
      <c r="D27" s="8" t="s">
        <v>111</v>
      </c>
      <c r="E27" s="8" t="n">
        <v>1000</v>
      </c>
      <c r="F27" s="17" t="str">
        <f aca="false">INDEX(COA!$B$5:$B$12,MATCH(E27,COA!$A$5:$A$12,0))</f>
        <v>Cash</v>
      </c>
      <c r="J27" s="18" t="n">
        <f aca="false">J28+J29</f>
        <v>10653</v>
      </c>
      <c r="K27" s="18" t="n">
        <f aca="false">J27</f>
        <v>10653</v>
      </c>
      <c r="L27" s="18"/>
      <c r="M27" s="17" t="str">
        <f aca="false">IF(ROUND(SUMIFS($K$5:$K$300,$A$5:$A$300,A27)-SUMIFS($L$5:$L$300,$A$5:$A$300,A27),2)=0,"OK","UNBALANCED")</f>
        <v>OK</v>
      </c>
    </row>
    <row r="28" customFormat="false" ht="15" hidden="false" customHeight="false" outlineLevel="0" collapsed="false">
      <c r="A28" s="8" t="n">
        <v>9</v>
      </c>
      <c r="B28" s="16" t="n">
        <v>46301</v>
      </c>
      <c r="C28" s="8" t="s">
        <v>61</v>
      </c>
      <c r="D28" s="8" t="s">
        <v>111</v>
      </c>
      <c r="E28" s="8" t="n">
        <v>2000</v>
      </c>
      <c r="F28" s="17" t="str">
        <f aca="false">INDEX(COA!$B$5:$B$12,MATCH(E28,COA!$A$5:$A$12,0))</f>
        <v>Token liability (FVTPL)</v>
      </c>
      <c r="G28" s="8" t="s">
        <v>29</v>
      </c>
      <c r="H28" s="19" t="n">
        <v>50</v>
      </c>
      <c r="I28" s="18" t="n">
        <f aca="false">IF(G28="","",INDEX(Assumptions!$B$9:$C$13,MATCH(B28,Assumptions!$A$9:$A$13,0),MATCH(G28,Assumptions!$B$8:$C$8,0)))</f>
        <v>212</v>
      </c>
      <c r="J28" s="18" t="n">
        <f aca="false">ROUND(ABS(H28)*I28,2)</f>
        <v>10600</v>
      </c>
      <c r="K28" s="18"/>
      <c r="L28" s="18" t="n">
        <f aca="false">J28</f>
        <v>10600</v>
      </c>
      <c r="M28" s="17" t="str">
        <f aca="false">IF(ROUND(SUMIFS($K$5:$K$300,$A$5:$A$300,A28)-SUMIFS($L$5:$L$300,$A$5:$A$300,A28),2)=0,"OK","UNBALANCED")</f>
        <v>OK</v>
      </c>
    </row>
    <row r="29" customFormat="false" ht="15" hidden="false" customHeight="false" outlineLevel="0" collapsed="false">
      <c r="A29" s="8" t="n">
        <v>9</v>
      </c>
      <c r="B29" s="16" t="n">
        <v>46301</v>
      </c>
      <c r="C29" s="8" t="s">
        <v>61</v>
      </c>
      <c r="D29" s="8" t="s">
        <v>111</v>
      </c>
      <c r="E29" s="8" t="n">
        <v>4000</v>
      </c>
      <c r="F29" s="17" t="str">
        <f aca="false">INDEX(COA!$B$5:$B$12,MATCH(E29,COA!$A$5:$A$12,0))</f>
        <v>Fee income</v>
      </c>
      <c r="J29" s="18" t="n">
        <f aca="false">ROUND(J28*Assumptions!$B$3,2)</f>
        <v>53</v>
      </c>
      <c r="K29" s="18"/>
      <c r="L29" s="18" t="n">
        <f aca="false">J29</f>
        <v>53</v>
      </c>
      <c r="M29" s="17" t="str">
        <f aca="false">IF(ROUND(SUMIFS($K$5:$K$300,$A$5:$A$300,A29)-SUMIFS($L$5:$L$300,$A$5:$A$300,A29),2)=0,"OK","UNBALANCED")</f>
        <v>OK</v>
      </c>
    </row>
    <row r="30" customFormat="false" ht="15" hidden="false" customHeight="false" outlineLevel="0" collapsed="false">
      <c r="A30" s="8" t="n">
        <v>10</v>
      </c>
      <c r="B30" s="16" t="n">
        <v>46301</v>
      </c>
      <c r="C30" s="8" t="s">
        <v>82</v>
      </c>
      <c r="D30" s="8" t="s">
        <v>112</v>
      </c>
      <c r="E30" s="8" t="n">
        <v>1100</v>
      </c>
      <c r="F30" s="17" t="str">
        <f aca="false">INDEX(COA!$B$5:$B$12,MATCH(E30,COA!$A$5:$A$12,0))</f>
        <v>Investments in underlying shares (FVTPL)</v>
      </c>
      <c r="G30" s="8" t="s">
        <v>29</v>
      </c>
      <c r="H30" s="19" t="n">
        <v>50</v>
      </c>
      <c r="I30" s="18" t="n">
        <f aca="false">IF(G30="","",INDEX(Assumptions!$B$9:$C$13,MATCH(B30,Assumptions!$A$9:$A$13,0),MATCH(G30,Assumptions!$B$8:$C$8,0)))</f>
        <v>212</v>
      </c>
      <c r="J30" s="18" t="n">
        <f aca="false">ROUND(ABS(H30)*I30,2)</f>
        <v>10600</v>
      </c>
      <c r="K30" s="18" t="n">
        <f aca="false">J30</f>
        <v>10600</v>
      </c>
      <c r="L30" s="18"/>
      <c r="M30" s="17" t="str">
        <f aca="false">IF(ROUND(SUMIFS($K$5:$K$300,$A$5:$A$300,A30)-SUMIFS($L$5:$L$300,$A$5:$A$300,A30),2)=0,"OK","UNBALANCED")</f>
        <v>OK</v>
      </c>
    </row>
    <row r="31" customFormat="false" ht="15" hidden="false" customHeight="false" outlineLevel="0" collapsed="false">
      <c r="A31" s="8" t="n">
        <v>10</v>
      </c>
      <c r="B31" s="16" t="n">
        <v>46301</v>
      </c>
      <c r="C31" s="8" t="s">
        <v>82</v>
      </c>
      <c r="D31" s="8" t="s">
        <v>112</v>
      </c>
      <c r="E31" s="8" t="n">
        <v>2100</v>
      </c>
      <c r="F31" s="17" t="str">
        <f aca="false">INDEX(COA!$B$5:$B$12,MATCH(E31,COA!$A$5:$A$12,0))</f>
        <v>Due to broker (unsettled purchases)</v>
      </c>
      <c r="J31" s="18"/>
      <c r="K31" s="18"/>
      <c r="L31" s="18" t="n">
        <f aca="false">J30</f>
        <v>10600</v>
      </c>
      <c r="M31" s="17" t="str">
        <f aca="false">IF(ROUND(SUMIFS($K$5:$K$300,$A$5:$A$300,A31)-SUMIFS($L$5:$L$300,$A$5:$A$300,A31),2)=0,"OK","UNBALANCED")</f>
        <v>OK</v>
      </c>
    </row>
    <row r="32" customFormat="false" ht="15" hidden="false" customHeight="false" outlineLevel="0" collapsed="false">
      <c r="A32" s="8" t="n">
        <v>11</v>
      </c>
      <c r="B32" s="16" t="n">
        <v>46302</v>
      </c>
      <c r="C32" s="8" t="s">
        <v>113</v>
      </c>
      <c r="D32" s="8" t="s">
        <v>105</v>
      </c>
      <c r="E32" s="8" t="n">
        <v>2100</v>
      </c>
      <c r="F32" s="17" t="str">
        <f aca="false">INDEX(COA!$B$5:$B$12,MATCH(E32,COA!$A$5:$A$12,0))</f>
        <v>Due to broker (unsettled purchases)</v>
      </c>
      <c r="J32" s="18" t="n">
        <f aca="false">J30</f>
        <v>10600</v>
      </c>
      <c r="K32" s="18" t="n">
        <f aca="false">J32</f>
        <v>10600</v>
      </c>
      <c r="L32" s="18"/>
      <c r="M32" s="17" t="str">
        <f aca="false">IF(ROUND(SUMIFS($K$5:$K$300,$A$5:$A$300,A32)-SUMIFS($L$5:$L$300,$A$5:$A$300,A32),2)=0,"OK","UNBALANCED")</f>
        <v>OK</v>
      </c>
    </row>
    <row r="33" customFormat="false" ht="15" hidden="false" customHeight="false" outlineLevel="0" collapsed="false">
      <c r="A33" s="8" t="n">
        <v>11</v>
      </c>
      <c r="B33" s="16" t="n">
        <v>46302</v>
      </c>
      <c r="C33" s="8" t="s">
        <v>113</v>
      </c>
      <c r="D33" s="8" t="s">
        <v>105</v>
      </c>
      <c r="E33" s="8" t="n">
        <v>1000</v>
      </c>
      <c r="F33" s="17" t="str">
        <f aca="false">INDEX(COA!$B$5:$B$12,MATCH(E33,COA!$A$5:$A$12,0))</f>
        <v>Cash</v>
      </c>
      <c r="J33" s="18"/>
      <c r="K33" s="18"/>
      <c r="L33" s="18" t="n">
        <f aca="false">J32</f>
        <v>10600</v>
      </c>
      <c r="M33" s="17" t="str">
        <f aca="false">IF(ROUND(SUMIFS($K$5:$K$300,$A$5:$A$300,A33)-SUMIFS($L$5:$L$300,$A$5:$A$300,A33),2)=0,"OK","UNBALANCED")</f>
        <v>OK</v>
      </c>
    </row>
    <row r="34" customFormat="false" ht="15" hidden="false" customHeight="false" outlineLevel="0" collapsed="false">
      <c r="A34" s="8" t="n">
        <v>12</v>
      </c>
      <c r="B34" s="16" t="n">
        <v>46302</v>
      </c>
      <c r="C34" s="8" t="s">
        <v>114</v>
      </c>
      <c r="D34" s="8" t="s">
        <v>108</v>
      </c>
      <c r="E34" s="8" t="n">
        <v>1100</v>
      </c>
      <c r="F34" s="17" t="str">
        <f aca="false">INDEX(COA!$B$5:$B$12,MATCH(E34,COA!$A$5:$A$12,0))</f>
        <v>Investments in underlying shares (FVTPL)</v>
      </c>
      <c r="G34" s="8" t="s">
        <v>29</v>
      </c>
      <c r="H34" s="19" t="n">
        <v>0</v>
      </c>
      <c r="I34" s="18" t="n">
        <f aca="false">IF(G34="","",INDEX(Assumptions!$B$9:$C$13,MATCH(B34,Assumptions!$A$9:$A$13,0),MATCH(G34,Assumptions!$B$8:$C$8,0)))</f>
        <v>211</v>
      </c>
      <c r="J34" s="18" t="n">
        <f aca="false">ROUND(SUMIFS($H$5:$H$300,$E$5:$E$300,1100,$G$5:$G$300,G34,$B$5:$B$300,"&lt;"&amp;B34)*(I34-INDEX(Assumptions!$B$9:$C$13,MATCH(B34,Assumptions!$A$9:$A$13,0)-1,MATCH(G34,Assumptions!$B$8:$C$8,0))),2)</f>
        <v>-150</v>
      </c>
      <c r="K34" s="18" t="n">
        <f aca="false">MAX(J34,0)</f>
        <v>0</v>
      </c>
      <c r="L34" s="18" t="n">
        <f aca="false">MAX(-J34,0)</f>
        <v>150</v>
      </c>
      <c r="M34" s="17" t="str">
        <f aca="false">IF(ROUND(SUMIFS($K$5:$K$300,$A$5:$A$300,A34)-SUMIFS($L$5:$L$300,$A$5:$A$300,A34),2)=0,"OK","UNBALANCED")</f>
        <v>OK</v>
      </c>
    </row>
    <row r="35" customFormat="false" ht="15" hidden="false" customHeight="false" outlineLevel="0" collapsed="false">
      <c r="A35" s="8" t="n">
        <v>12</v>
      </c>
      <c r="B35" s="16" t="n">
        <v>46302</v>
      </c>
      <c r="C35" s="8" t="s">
        <v>114</v>
      </c>
      <c r="D35" s="8" t="s">
        <v>108</v>
      </c>
      <c r="E35" s="8" t="n">
        <v>4100</v>
      </c>
      <c r="F35" s="17" t="str">
        <f aca="false">INDEX(COA!$B$5:$B$12,MATCH(E35,COA!$A$5:$A$12,0))</f>
        <v>FV gain/loss - underlying investments</v>
      </c>
      <c r="J35" s="18" t="n">
        <f aca="false">J34</f>
        <v>-150</v>
      </c>
      <c r="K35" s="18" t="n">
        <f aca="false">MAX(-J35,0)</f>
        <v>150</v>
      </c>
      <c r="L35" s="18" t="n">
        <f aca="false">MAX(J35,0)</f>
        <v>0</v>
      </c>
      <c r="M35" s="17" t="str">
        <f aca="false">IF(ROUND(SUMIFS($K$5:$K$300,$A$5:$A$300,A35)-SUMIFS($L$5:$L$300,$A$5:$A$300,A35),2)=0,"OK","UNBALANCED")</f>
        <v>OK</v>
      </c>
    </row>
    <row r="36" customFormat="false" ht="15" hidden="false" customHeight="false" outlineLevel="0" collapsed="false">
      <c r="A36" s="8" t="n">
        <v>12</v>
      </c>
      <c r="B36" s="16" t="n">
        <v>46302</v>
      </c>
      <c r="C36" s="8" t="s">
        <v>114</v>
      </c>
      <c r="D36" s="8" t="s">
        <v>108</v>
      </c>
      <c r="E36" s="8" t="n">
        <v>2000</v>
      </c>
      <c r="F36" s="17" t="str">
        <f aca="false">INDEX(COA!$B$5:$B$12,MATCH(E36,COA!$A$5:$A$12,0))</f>
        <v>Token liability (FVTPL)</v>
      </c>
      <c r="G36" s="8" t="s">
        <v>29</v>
      </c>
      <c r="H36" s="19" t="n">
        <v>0</v>
      </c>
      <c r="I36" s="18" t="n">
        <f aca="false">IF(G36="","",INDEX(Assumptions!$B$9:$C$13,MATCH(B36,Assumptions!$A$9:$A$13,0),MATCH(G36,Assumptions!$B$8:$C$8,0)))</f>
        <v>211</v>
      </c>
      <c r="J36" s="18" t="n">
        <f aca="false">ROUND(SUMIFS($H$5:$H$300,$E$5:$E$300,2000,$G$5:$G$300,G36,$B$5:$B$300,"&lt;"&amp;B36)*(I36-INDEX(Assumptions!$B$9:$C$13,MATCH(B34,Assumptions!$A$9:$A$13,0)-1,MATCH(G34,Assumptions!$B$8:$C$8,0))),2)</f>
        <v>-150</v>
      </c>
      <c r="K36" s="18" t="n">
        <f aca="false">MAX(-J36,0)</f>
        <v>150</v>
      </c>
      <c r="L36" s="18" t="n">
        <f aca="false">MAX(J36,0)</f>
        <v>0</v>
      </c>
      <c r="M36" s="17" t="str">
        <f aca="false">IF(ROUND(SUMIFS($K$5:$K$300,$A$5:$A$300,A36)-SUMIFS($L$5:$L$300,$A$5:$A$300,A36),2)=0,"OK","UNBALANCED")</f>
        <v>OK</v>
      </c>
    </row>
    <row r="37" customFormat="false" ht="15" hidden="false" customHeight="false" outlineLevel="0" collapsed="false">
      <c r="A37" s="8" t="n">
        <v>12</v>
      </c>
      <c r="B37" s="16" t="n">
        <v>46302</v>
      </c>
      <c r="C37" s="8" t="s">
        <v>114</v>
      </c>
      <c r="D37" s="8" t="s">
        <v>108</v>
      </c>
      <c r="E37" s="8" t="n">
        <v>4200</v>
      </c>
      <c r="F37" s="17" t="str">
        <f aca="false">INDEX(COA!$B$5:$B$12,MATCH(E37,COA!$A$5:$A$12,0))</f>
        <v>FV gain/loss - token liability</v>
      </c>
      <c r="J37" s="18" t="n">
        <f aca="false">J36</f>
        <v>-150</v>
      </c>
      <c r="K37" s="18" t="n">
        <f aca="false">MAX(J37,0)</f>
        <v>0</v>
      </c>
      <c r="L37" s="18" t="n">
        <f aca="false">MAX(-J37,0)</f>
        <v>150</v>
      </c>
      <c r="M37" s="17" t="str">
        <f aca="false">IF(ROUND(SUMIFS($K$5:$K$300,$A$5:$A$300,A37)-SUMIFS($L$5:$L$300,$A$5:$A$300,A37),2)=0,"OK","UNBALANCED")</f>
        <v>OK</v>
      </c>
    </row>
    <row r="38" customFormat="false" ht="15" hidden="false" customHeight="false" outlineLevel="0" collapsed="false">
      <c r="A38" s="8" t="n">
        <v>13</v>
      </c>
      <c r="B38" s="16" t="n">
        <v>46302</v>
      </c>
      <c r="C38" s="8" t="s">
        <v>115</v>
      </c>
      <c r="D38" s="8" t="s">
        <v>110</v>
      </c>
      <c r="E38" s="8" t="n">
        <v>1100</v>
      </c>
      <c r="F38" s="17" t="str">
        <f aca="false">INDEX(COA!$B$5:$B$12,MATCH(E38,COA!$A$5:$A$12,0))</f>
        <v>Investments in underlying shares (FVTPL)</v>
      </c>
      <c r="G38" s="8" t="s">
        <v>30</v>
      </c>
      <c r="H38" s="19" t="n">
        <v>0</v>
      </c>
      <c r="I38" s="18" t="n">
        <f aca="false">IF(G38="","",INDEX(Assumptions!$B$9:$C$13,MATCH(B38,Assumptions!$A$9:$A$13,0),MATCH(G38,Assumptions!$B$8:$C$8,0)))</f>
        <v>125</v>
      </c>
      <c r="J38" s="18" t="n">
        <f aca="false">ROUND(SUMIFS($H$5:$H$300,$E$5:$E$300,1100,$G$5:$G$300,G38,$B$5:$B$300,"&lt;"&amp;B38)*(I38-INDEX(Assumptions!$B$9:$C$13,MATCH(B38,Assumptions!$A$9:$A$13,0)-1,MATCH(G38,Assumptions!$B$8:$C$8,0))),2)</f>
        <v>3500</v>
      </c>
      <c r="K38" s="18" t="n">
        <f aca="false">MAX(J38,0)</f>
        <v>3500</v>
      </c>
      <c r="L38" s="18" t="n">
        <f aca="false">MAX(-J38,0)</f>
        <v>0</v>
      </c>
      <c r="M38" s="17" t="str">
        <f aca="false">IF(ROUND(SUMIFS($K$5:$K$300,$A$5:$A$300,A38)-SUMIFS($L$5:$L$300,$A$5:$A$300,A38),2)=0,"OK","UNBALANCED")</f>
        <v>OK</v>
      </c>
    </row>
    <row r="39" customFormat="false" ht="15" hidden="false" customHeight="false" outlineLevel="0" collapsed="false">
      <c r="A39" s="8" t="n">
        <v>13</v>
      </c>
      <c r="B39" s="16" t="n">
        <v>46302</v>
      </c>
      <c r="C39" s="8" t="s">
        <v>115</v>
      </c>
      <c r="D39" s="8" t="s">
        <v>110</v>
      </c>
      <c r="E39" s="8" t="n">
        <v>4100</v>
      </c>
      <c r="F39" s="17" t="str">
        <f aca="false">INDEX(COA!$B$5:$B$12,MATCH(E39,COA!$A$5:$A$12,0))</f>
        <v>FV gain/loss - underlying investments</v>
      </c>
      <c r="J39" s="18" t="n">
        <f aca="false">J38</f>
        <v>3500</v>
      </c>
      <c r="K39" s="18" t="n">
        <f aca="false">MAX(-J39,0)</f>
        <v>0</v>
      </c>
      <c r="L39" s="18" t="n">
        <f aca="false">MAX(J39,0)</f>
        <v>3500</v>
      </c>
      <c r="M39" s="17" t="str">
        <f aca="false">IF(ROUND(SUMIFS($K$5:$K$300,$A$5:$A$300,A39)-SUMIFS($L$5:$L$300,$A$5:$A$300,A39),2)=0,"OK","UNBALANCED")</f>
        <v>OK</v>
      </c>
    </row>
    <row r="40" customFormat="false" ht="15" hidden="false" customHeight="false" outlineLevel="0" collapsed="false">
      <c r="A40" s="8" t="n">
        <v>13</v>
      </c>
      <c r="B40" s="16" t="n">
        <v>46302</v>
      </c>
      <c r="C40" s="8" t="s">
        <v>115</v>
      </c>
      <c r="D40" s="8" t="s">
        <v>110</v>
      </c>
      <c r="E40" s="8" t="n">
        <v>2000</v>
      </c>
      <c r="F40" s="17" t="str">
        <f aca="false">INDEX(COA!$B$5:$B$12,MATCH(E40,COA!$A$5:$A$12,0))</f>
        <v>Token liability (FVTPL)</v>
      </c>
      <c r="G40" s="8" t="s">
        <v>30</v>
      </c>
      <c r="H40" s="19" t="n">
        <v>0</v>
      </c>
      <c r="I40" s="18" t="n">
        <f aca="false">IF(G40="","",INDEX(Assumptions!$B$9:$C$13,MATCH(B40,Assumptions!$A$9:$A$13,0),MATCH(G40,Assumptions!$B$8:$C$8,0)))</f>
        <v>125</v>
      </c>
      <c r="J40" s="18" t="n">
        <f aca="false">ROUND(SUMIFS($H$5:$H$300,$E$5:$E$300,2000,$G$5:$G$300,G40,$B$5:$B$300,"&lt;"&amp;B40)*(I40-INDEX(Assumptions!$B$9:$C$13,MATCH(B38,Assumptions!$A$9:$A$13,0)-1,MATCH(G38,Assumptions!$B$8:$C$8,0))),2)</f>
        <v>3500</v>
      </c>
      <c r="K40" s="18" t="n">
        <f aca="false">MAX(-J40,0)</f>
        <v>0</v>
      </c>
      <c r="L40" s="18" t="n">
        <f aca="false">MAX(J40,0)</f>
        <v>3500</v>
      </c>
      <c r="M40" s="17" t="str">
        <f aca="false">IF(ROUND(SUMIFS($K$5:$K$300,$A$5:$A$300,A40)-SUMIFS($L$5:$L$300,$A$5:$A$300,A40),2)=0,"OK","UNBALANCED")</f>
        <v>OK</v>
      </c>
    </row>
    <row r="41" customFormat="false" ht="15" hidden="false" customHeight="false" outlineLevel="0" collapsed="false">
      <c r="A41" s="8" t="n">
        <v>13</v>
      </c>
      <c r="B41" s="16" t="n">
        <v>46302</v>
      </c>
      <c r="C41" s="8" t="s">
        <v>115</v>
      </c>
      <c r="D41" s="8" t="s">
        <v>110</v>
      </c>
      <c r="E41" s="8" t="n">
        <v>4200</v>
      </c>
      <c r="F41" s="17" t="str">
        <f aca="false">INDEX(COA!$B$5:$B$12,MATCH(E41,COA!$A$5:$A$12,0))</f>
        <v>FV gain/loss - token liability</v>
      </c>
      <c r="J41" s="18" t="n">
        <f aca="false">J40</f>
        <v>3500</v>
      </c>
      <c r="K41" s="18" t="n">
        <f aca="false">MAX(J41,0)</f>
        <v>3500</v>
      </c>
      <c r="L41" s="18" t="n">
        <f aca="false">MAX(-J41,0)</f>
        <v>0</v>
      </c>
      <c r="M41" s="17" t="str">
        <f aca="false">IF(ROUND(SUMIFS($K$5:$K$300,$A$5:$A$300,A41)-SUMIFS($L$5:$L$300,$A$5:$A$300,A41),2)=0,"OK","UNBALANCED")</f>
        <v>OK</v>
      </c>
    </row>
    <row r="42" customFormat="false" ht="15" hidden="false" customHeight="false" outlineLevel="0" collapsed="false">
      <c r="A42" s="8" t="n">
        <v>14</v>
      </c>
      <c r="B42" s="16" t="n">
        <v>46302</v>
      </c>
      <c r="C42" s="8" t="s">
        <v>63</v>
      </c>
      <c r="D42" s="8" t="s">
        <v>116</v>
      </c>
      <c r="E42" s="8" t="n">
        <v>2000</v>
      </c>
      <c r="F42" s="17" t="str">
        <f aca="false">INDEX(COA!$B$5:$B$12,MATCH(E42,COA!$A$5:$A$12,0))</f>
        <v>Token liability (FVTPL)</v>
      </c>
      <c r="G42" s="8" t="s">
        <v>29</v>
      </c>
      <c r="H42" s="19" t="n">
        <v>-30</v>
      </c>
      <c r="I42" s="18" t="n">
        <f aca="false">IF(G42="","",INDEX(Assumptions!$B$9:$C$13,MATCH(B42,Assumptions!$A$9:$A$13,0),MATCH(G42,Assumptions!$B$8:$C$8,0)))</f>
        <v>211</v>
      </c>
      <c r="J42" s="18" t="n">
        <f aca="false">ROUND(ABS(H42)*I42,2)</f>
        <v>6330</v>
      </c>
      <c r="K42" s="18" t="n">
        <f aca="false">J42</f>
        <v>6330</v>
      </c>
      <c r="L42" s="18"/>
      <c r="M42" s="17" t="str">
        <f aca="false">IF(ROUND(SUMIFS($K$5:$K$300,$A$5:$A$300,A42)-SUMIFS($L$5:$L$300,$A$5:$A$300,A42),2)=0,"OK","UNBALANCED")</f>
        <v>OK</v>
      </c>
    </row>
    <row r="43" customFormat="false" ht="15" hidden="false" customHeight="false" outlineLevel="0" collapsed="false">
      <c r="A43" s="8" t="n">
        <v>14</v>
      </c>
      <c r="B43" s="16" t="n">
        <v>46302</v>
      </c>
      <c r="C43" s="8" t="s">
        <v>63</v>
      </c>
      <c r="D43" s="8" t="s">
        <v>116</v>
      </c>
      <c r="E43" s="8" t="n">
        <v>1000</v>
      </c>
      <c r="F43" s="17" t="str">
        <f aca="false">INDEX(COA!$B$5:$B$12,MATCH(E43,COA!$A$5:$A$12,0))</f>
        <v>Cash</v>
      </c>
      <c r="J43" s="18" t="n">
        <f aca="false">J42-J44</f>
        <v>6298.35</v>
      </c>
      <c r="K43" s="18"/>
      <c r="L43" s="18" t="n">
        <f aca="false">J43</f>
        <v>6298.35</v>
      </c>
      <c r="M43" s="17" t="str">
        <f aca="false">IF(ROUND(SUMIFS($K$5:$K$300,$A$5:$A$300,A43)-SUMIFS($L$5:$L$300,$A$5:$A$300,A43),2)=0,"OK","UNBALANCED")</f>
        <v>OK</v>
      </c>
    </row>
    <row r="44" customFormat="false" ht="15" hidden="false" customHeight="false" outlineLevel="0" collapsed="false">
      <c r="A44" s="8" t="n">
        <v>14</v>
      </c>
      <c r="B44" s="16" t="n">
        <v>46302</v>
      </c>
      <c r="C44" s="8" t="s">
        <v>63</v>
      </c>
      <c r="D44" s="8" t="s">
        <v>116</v>
      </c>
      <c r="E44" s="8" t="n">
        <v>4000</v>
      </c>
      <c r="F44" s="17" t="str">
        <f aca="false">INDEX(COA!$B$5:$B$12,MATCH(E44,COA!$A$5:$A$12,0))</f>
        <v>Fee income</v>
      </c>
      <c r="J44" s="18" t="n">
        <f aca="false">ROUND(J42*Assumptions!$B$3,2)</f>
        <v>31.65</v>
      </c>
      <c r="K44" s="18"/>
      <c r="L44" s="18" t="n">
        <f aca="false">J44</f>
        <v>31.65</v>
      </c>
      <c r="M44" s="17" t="str">
        <f aca="false">IF(ROUND(SUMIFS($K$5:$K$300,$A$5:$A$300,A44)-SUMIFS($L$5:$L$300,$A$5:$A$300,A44),2)=0,"OK","UNBALANCED")</f>
        <v>OK</v>
      </c>
    </row>
    <row r="45" customFormat="false" ht="15" hidden="false" customHeight="false" outlineLevel="0" collapsed="false">
      <c r="A45" s="8" t="n">
        <v>15</v>
      </c>
      <c r="B45" s="16" t="n">
        <v>46302</v>
      </c>
      <c r="C45" s="8" t="s">
        <v>83</v>
      </c>
      <c r="D45" s="8" t="s">
        <v>117</v>
      </c>
      <c r="E45" s="8" t="n">
        <v>1200</v>
      </c>
      <c r="F45" s="17" t="str">
        <f aca="false">INDEX(COA!$B$5:$B$12,MATCH(E45,COA!$A$5:$A$12,0))</f>
        <v>Due from broker (unsettled sales)</v>
      </c>
      <c r="J45" s="18"/>
      <c r="K45" s="18" t="n">
        <f aca="false">J46</f>
        <v>6330</v>
      </c>
      <c r="L45" s="18"/>
      <c r="M45" s="17" t="str">
        <f aca="false">IF(ROUND(SUMIFS($K$5:$K$300,$A$5:$A$300,A45)-SUMIFS($L$5:$L$300,$A$5:$A$300,A45),2)=0,"OK","UNBALANCED")</f>
        <v>OK</v>
      </c>
    </row>
    <row r="46" customFormat="false" ht="15" hidden="false" customHeight="false" outlineLevel="0" collapsed="false">
      <c r="A46" s="8" t="n">
        <v>15</v>
      </c>
      <c r="B46" s="16" t="n">
        <v>46302</v>
      </c>
      <c r="C46" s="8" t="s">
        <v>83</v>
      </c>
      <c r="D46" s="8" t="s">
        <v>117</v>
      </c>
      <c r="E46" s="8" t="n">
        <v>1100</v>
      </c>
      <c r="F46" s="17" t="str">
        <f aca="false">INDEX(COA!$B$5:$B$12,MATCH(E46,COA!$A$5:$A$12,0))</f>
        <v>Investments in underlying shares (FVTPL)</v>
      </c>
      <c r="G46" s="8" t="s">
        <v>29</v>
      </c>
      <c r="H46" s="19" t="n">
        <v>-30</v>
      </c>
      <c r="I46" s="18" t="n">
        <f aca="false">IF(G46="","",INDEX(Assumptions!$B$9:$C$13,MATCH(B46,Assumptions!$A$9:$A$13,0),MATCH(G46,Assumptions!$B$8:$C$8,0)))</f>
        <v>211</v>
      </c>
      <c r="J46" s="18" t="n">
        <f aca="false">ROUND(ABS(H46)*I46,2)</f>
        <v>6330</v>
      </c>
      <c r="K46" s="18"/>
      <c r="L46" s="18" t="n">
        <f aca="false">J46</f>
        <v>6330</v>
      </c>
      <c r="M46" s="17" t="str">
        <f aca="false">IF(ROUND(SUMIFS($K$5:$K$300,$A$5:$A$300,A46)-SUMIFS($L$5:$L$300,$A$5:$A$300,A46),2)=0,"OK","UNBALANCED")</f>
        <v>OK</v>
      </c>
    </row>
    <row r="47" customFormat="false" ht="15" hidden="false" customHeight="false" outlineLevel="0" collapsed="false">
      <c r="A47" s="8" t="n">
        <v>16</v>
      </c>
      <c r="B47" s="16" t="n">
        <v>46302</v>
      </c>
      <c r="C47" s="8" t="s">
        <v>65</v>
      </c>
      <c r="D47" s="8" t="s">
        <v>118</v>
      </c>
      <c r="E47" s="8" t="n">
        <v>1000</v>
      </c>
      <c r="F47" s="17" t="str">
        <f aca="false">INDEX(COA!$B$5:$B$12,MATCH(E47,COA!$A$5:$A$12,0))</f>
        <v>Cash</v>
      </c>
      <c r="J47" s="18" t="n">
        <f aca="false">J48+J49</f>
        <v>25125</v>
      </c>
      <c r="K47" s="18" t="n">
        <f aca="false">J47</f>
        <v>25125</v>
      </c>
      <c r="L47" s="18"/>
      <c r="M47" s="17" t="str">
        <f aca="false">IF(ROUND(SUMIFS($K$5:$K$300,$A$5:$A$300,A47)-SUMIFS($L$5:$L$300,$A$5:$A$300,A47),2)=0,"OK","UNBALANCED")</f>
        <v>OK</v>
      </c>
    </row>
    <row r="48" customFormat="false" ht="15" hidden="false" customHeight="false" outlineLevel="0" collapsed="false">
      <c r="A48" s="8" t="n">
        <v>16</v>
      </c>
      <c r="B48" s="16" t="n">
        <v>46302</v>
      </c>
      <c r="C48" s="8" t="s">
        <v>65</v>
      </c>
      <c r="D48" s="8" t="s">
        <v>118</v>
      </c>
      <c r="E48" s="8" t="n">
        <v>2000</v>
      </c>
      <c r="F48" s="17" t="str">
        <f aca="false">INDEX(COA!$B$5:$B$12,MATCH(E48,COA!$A$5:$A$12,0))</f>
        <v>Token liability (FVTPL)</v>
      </c>
      <c r="G48" s="8" t="s">
        <v>30</v>
      </c>
      <c r="H48" s="19" t="n">
        <v>200</v>
      </c>
      <c r="I48" s="18" t="n">
        <f aca="false">IF(G48="","",INDEX(Assumptions!$B$9:$C$13,MATCH(B48,Assumptions!$A$9:$A$13,0),MATCH(G48,Assumptions!$B$8:$C$8,0)))</f>
        <v>125</v>
      </c>
      <c r="J48" s="18" t="n">
        <f aca="false">ROUND(ABS(H48)*I48,2)</f>
        <v>25000</v>
      </c>
      <c r="K48" s="18"/>
      <c r="L48" s="18" t="n">
        <f aca="false">J48</f>
        <v>25000</v>
      </c>
      <c r="M48" s="17" t="str">
        <f aca="false">IF(ROUND(SUMIFS($K$5:$K$300,$A$5:$A$300,A48)-SUMIFS($L$5:$L$300,$A$5:$A$300,A48),2)=0,"OK","UNBALANCED")</f>
        <v>OK</v>
      </c>
    </row>
    <row r="49" customFormat="false" ht="15" hidden="false" customHeight="false" outlineLevel="0" collapsed="false">
      <c r="A49" s="8" t="n">
        <v>16</v>
      </c>
      <c r="B49" s="16" t="n">
        <v>46302</v>
      </c>
      <c r="C49" s="8" t="s">
        <v>65</v>
      </c>
      <c r="D49" s="8" t="s">
        <v>118</v>
      </c>
      <c r="E49" s="8" t="n">
        <v>4000</v>
      </c>
      <c r="F49" s="17" t="str">
        <f aca="false">INDEX(COA!$B$5:$B$12,MATCH(E49,COA!$A$5:$A$12,0))</f>
        <v>Fee income</v>
      </c>
      <c r="J49" s="18" t="n">
        <f aca="false">ROUND(J48*Assumptions!$B$3,2)</f>
        <v>125</v>
      </c>
      <c r="K49" s="18"/>
      <c r="L49" s="18" t="n">
        <f aca="false">J49</f>
        <v>125</v>
      </c>
      <c r="M49" s="17" t="str">
        <f aca="false">IF(ROUND(SUMIFS($K$5:$K$300,$A$5:$A$300,A49)-SUMIFS($L$5:$L$300,$A$5:$A$300,A49),2)=0,"OK","UNBALANCED")</f>
        <v>OK</v>
      </c>
    </row>
    <row r="50" customFormat="false" ht="15" hidden="false" customHeight="false" outlineLevel="0" collapsed="false">
      <c r="A50" s="8" t="n">
        <v>17</v>
      </c>
      <c r="B50" s="16" t="n">
        <v>46302</v>
      </c>
      <c r="C50" s="8" t="s">
        <v>84</v>
      </c>
      <c r="D50" s="8" t="s">
        <v>119</v>
      </c>
      <c r="E50" s="8" t="n">
        <v>1100</v>
      </c>
      <c r="F50" s="17" t="str">
        <f aca="false">INDEX(COA!$B$5:$B$12,MATCH(E50,COA!$A$5:$A$12,0))</f>
        <v>Investments in underlying shares (FVTPL)</v>
      </c>
      <c r="G50" s="8" t="s">
        <v>30</v>
      </c>
      <c r="H50" s="19" t="n">
        <v>200</v>
      </c>
      <c r="I50" s="18" t="n">
        <f aca="false">IF(G50="","",INDEX(Assumptions!$B$9:$C$13,MATCH(B50,Assumptions!$A$9:$A$13,0),MATCH(G50,Assumptions!$B$8:$C$8,0)))</f>
        <v>125</v>
      </c>
      <c r="J50" s="18" t="n">
        <f aca="false">ROUND(ABS(H50)*I50,2)</f>
        <v>25000</v>
      </c>
      <c r="K50" s="18" t="n">
        <f aca="false">J50</f>
        <v>25000</v>
      </c>
      <c r="L50" s="18"/>
      <c r="M50" s="17" t="str">
        <f aca="false">IF(ROUND(SUMIFS($K$5:$K$300,$A$5:$A$300,A50)-SUMIFS($L$5:$L$300,$A$5:$A$300,A50),2)=0,"OK","UNBALANCED")</f>
        <v>OK</v>
      </c>
    </row>
    <row r="51" customFormat="false" ht="15" hidden="false" customHeight="false" outlineLevel="0" collapsed="false">
      <c r="A51" s="8" t="n">
        <v>17</v>
      </c>
      <c r="B51" s="16" t="n">
        <v>46302</v>
      </c>
      <c r="C51" s="8" t="s">
        <v>84</v>
      </c>
      <c r="D51" s="8" t="s">
        <v>119</v>
      </c>
      <c r="E51" s="8" t="n">
        <v>2100</v>
      </c>
      <c r="F51" s="17" t="str">
        <f aca="false">INDEX(COA!$B$5:$B$12,MATCH(E51,COA!$A$5:$A$12,0))</f>
        <v>Due to broker (unsettled purchases)</v>
      </c>
      <c r="J51" s="18"/>
      <c r="K51" s="18"/>
      <c r="L51" s="18" t="n">
        <f aca="false">J50</f>
        <v>25000</v>
      </c>
      <c r="M51" s="17" t="str">
        <f aca="false">IF(ROUND(SUMIFS($K$5:$K$300,$A$5:$A$300,A51)-SUMIFS($L$5:$L$300,$A$5:$A$300,A51),2)=0,"OK","UNBALANCED")</f>
        <v>OK</v>
      </c>
    </row>
    <row r="52" customFormat="false" ht="15" hidden="false" customHeight="false" outlineLevel="0" collapsed="false">
      <c r="A52" s="8" t="n">
        <v>18</v>
      </c>
      <c r="B52" s="16" t="n">
        <v>46303</v>
      </c>
      <c r="C52" s="8" t="s">
        <v>120</v>
      </c>
      <c r="D52" s="8" t="s">
        <v>121</v>
      </c>
      <c r="E52" s="8" t="n">
        <v>1000</v>
      </c>
      <c r="F52" s="17" t="str">
        <f aca="false">INDEX(COA!$B$5:$B$12,MATCH(E52,COA!$A$5:$A$12,0))</f>
        <v>Cash</v>
      </c>
      <c r="J52" s="18" t="n">
        <f aca="false">J46</f>
        <v>6330</v>
      </c>
      <c r="K52" s="18" t="n">
        <f aca="false">J52</f>
        <v>6330</v>
      </c>
      <c r="L52" s="18"/>
      <c r="M52" s="17" t="str">
        <f aca="false">IF(ROUND(SUMIFS($K$5:$K$300,$A$5:$A$300,A52)-SUMIFS($L$5:$L$300,$A$5:$A$300,A52),2)=0,"OK","UNBALANCED")</f>
        <v>OK</v>
      </c>
    </row>
    <row r="53" customFormat="false" ht="15" hidden="false" customHeight="false" outlineLevel="0" collapsed="false">
      <c r="A53" s="8" t="n">
        <v>18</v>
      </c>
      <c r="B53" s="16" t="n">
        <v>46303</v>
      </c>
      <c r="C53" s="8" t="s">
        <v>120</v>
      </c>
      <c r="D53" s="8" t="s">
        <v>121</v>
      </c>
      <c r="E53" s="8" t="n">
        <v>1200</v>
      </c>
      <c r="F53" s="17" t="str">
        <f aca="false">INDEX(COA!$B$5:$B$12,MATCH(E53,COA!$A$5:$A$12,0))</f>
        <v>Due from broker (unsettled sales)</v>
      </c>
      <c r="J53" s="18"/>
      <c r="K53" s="18"/>
      <c r="L53" s="18" t="n">
        <f aca="false">J52</f>
        <v>6330</v>
      </c>
      <c r="M53" s="17" t="str">
        <f aca="false">IF(ROUND(SUMIFS($K$5:$K$300,$A$5:$A$300,A53)-SUMIFS($L$5:$L$300,$A$5:$A$300,A53),2)=0,"OK","UNBALANCED")</f>
        <v>OK</v>
      </c>
    </row>
    <row r="54" customFormat="false" ht="15" hidden="false" customHeight="false" outlineLevel="0" collapsed="false">
      <c r="A54" s="8" t="n">
        <v>19</v>
      </c>
      <c r="B54" s="16" t="n">
        <v>46303</v>
      </c>
      <c r="C54" s="8" t="s">
        <v>122</v>
      </c>
      <c r="D54" s="8" t="s">
        <v>105</v>
      </c>
      <c r="E54" s="8" t="n">
        <v>2100</v>
      </c>
      <c r="F54" s="17" t="str">
        <f aca="false">INDEX(COA!$B$5:$B$12,MATCH(E54,COA!$A$5:$A$12,0))</f>
        <v>Due to broker (unsettled purchases)</v>
      </c>
      <c r="J54" s="18" t="n">
        <f aca="false">J50</f>
        <v>25000</v>
      </c>
      <c r="K54" s="18" t="n">
        <f aca="false">J54</f>
        <v>25000</v>
      </c>
      <c r="L54" s="18"/>
      <c r="M54" s="17" t="str">
        <f aca="false">IF(ROUND(SUMIFS($K$5:$K$300,$A$5:$A$300,A54)-SUMIFS($L$5:$L$300,$A$5:$A$300,A54),2)=0,"OK","UNBALANCED")</f>
        <v>OK</v>
      </c>
    </row>
    <row r="55" customFormat="false" ht="15" hidden="false" customHeight="false" outlineLevel="0" collapsed="false">
      <c r="A55" s="8" t="n">
        <v>19</v>
      </c>
      <c r="B55" s="16" t="n">
        <v>46303</v>
      </c>
      <c r="C55" s="8" t="s">
        <v>122</v>
      </c>
      <c r="D55" s="8" t="s">
        <v>105</v>
      </c>
      <c r="E55" s="8" t="n">
        <v>1000</v>
      </c>
      <c r="F55" s="17" t="str">
        <f aca="false">INDEX(COA!$B$5:$B$12,MATCH(E55,COA!$A$5:$A$12,0))</f>
        <v>Cash</v>
      </c>
      <c r="J55" s="18"/>
      <c r="K55" s="18"/>
      <c r="L55" s="18" t="n">
        <f aca="false">J54</f>
        <v>25000</v>
      </c>
      <c r="M55" s="17" t="str">
        <f aca="false">IF(ROUND(SUMIFS($K$5:$K$300,$A$5:$A$300,A55)-SUMIFS($L$5:$L$300,$A$5:$A$300,A55),2)=0,"OK","UNBALANCED")</f>
        <v>OK</v>
      </c>
    </row>
    <row r="56" customFormat="false" ht="15" hidden="false" customHeight="false" outlineLevel="0" collapsed="false">
      <c r="A56" s="8" t="n">
        <v>20</v>
      </c>
      <c r="B56" s="16" t="n">
        <v>46303</v>
      </c>
      <c r="C56" s="8" t="s">
        <v>123</v>
      </c>
      <c r="D56" s="8" t="s">
        <v>108</v>
      </c>
      <c r="E56" s="8" t="n">
        <v>1100</v>
      </c>
      <c r="F56" s="17" t="str">
        <f aca="false">INDEX(COA!$B$5:$B$12,MATCH(E56,COA!$A$5:$A$12,0))</f>
        <v>Investments in underlying shares (FVTPL)</v>
      </c>
      <c r="G56" s="8" t="s">
        <v>29</v>
      </c>
      <c r="H56" s="19" t="n">
        <v>0</v>
      </c>
      <c r="I56" s="18" t="n">
        <f aca="false">IF(G56="","",INDEX(Assumptions!$B$9:$C$13,MATCH(B56,Assumptions!$A$9:$A$13,0),MATCH(G56,Assumptions!$B$8:$C$8,0)))</f>
        <v>215</v>
      </c>
      <c r="J56" s="18" t="n">
        <f aca="false">ROUND(SUMIFS($H$5:$H$300,$E$5:$E$300,1100,$G$5:$G$300,G56,$B$5:$B$300,"&lt;"&amp;B56)*(I56-INDEX(Assumptions!$B$9:$C$13,MATCH(B56,Assumptions!$A$9:$A$13,0)-1,MATCH(G56,Assumptions!$B$8:$C$8,0))),2)</f>
        <v>480</v>
      </c>
      <c r="K56" s="18" t="n">
        <f aca="false">MAX(J56,0)</f>
        <v>480</v>
      </c>
      <c r="L56" s="18" t="n">
        <f aca="false">MAX(-J56,0)</f>
        <v>0</v>
      </c>
      <c r="M56" s="17" t="str">
        <f aca="false">IF(ROUND(SUMIFS($K$5:$K$300,$A$5:$A$300,A56)-SUMIFS($L$5:$L$300,$A$5:$A$300,A56),2)=0,"OK","UNBALANCED")</f>
        <v>OK</v>
      </c>
    </row>
    <row r="57" customFormat="false" ht="15" hidden="false" customHeight="false" outlineLevel="0" collapsed="false">
      <c r="A57" s="8" t="n">
        <v>20</v>
      </c>
      <c r="B57" s="16" t="n">
        <v>46303</v>
      </c>
      <c r="C57" s="8" t="s">
        <v>123</v>
      </c>
      <c r="D57" s="8" t="s">
        <v>108</v>
      </c>
      <c r="E57" s="8" t="n">
        <v>4100</v>
      </c>
      <c r="F57" s="17" t="str">
        <f aca="false">INDEX(COA!$B$5:$B$12,MATCH(E57,COA!$A$5:$A$12,0))</f>
        <v>FV gain/loss - underlying investments</v>
      </c>
      <c r="J57" s="18" t="n">
        <f aca="false">J56</f>
        <v>480</v>
      </c>
      <c r="K57" s="18" t="n">
        <f aca="false">MAX(-J57,0)</f>
        <v>0</v>
      </c>
      <c r="L57" s="18" t="n">
        <f aca="false">MAX(J57,0)</f>
        <v>480</v>
      </c>
      <c r="M57" s="17" t="str">
        <f aca="false">IF(ROUND(SUMIFS($K$5:$K$300,$A$5:$A$300,A57)-SUMIFS($L$5:$L$300,$A$5:$A$300,A57),2)=0,"OK","UNBALANCED")</f>
        <v>OK</v>
      </c>
    </row>
    <row r="58" customFormat="false" ht="15" hidden="false" customHeight="false" outlineLevel="0" collapsed="false">
      <c r="A58" s="8" t="n">
        <v>20</v>
      </c>
      <c r="B58" s="16" t="n">
        <v>46303</v>
      </c>
      <c r="C58" s="8" t="s">
        <v>123</v>
      </c>
      <c r="D58" s="8" t="s">
        <v>108</v>
      </c>
      <c r="E58" s="8" t="n">
        <v>2000</v>
      </c>
      <c r="F58" s="17" t="str">
        <f aca="false">INDEX(COA!$B$5:$B$12,MATCH(E58,COA!$A$5:$A$12,0))</f>
        <v>Token liability (FVTPL)</v>
      </c>
      <c r="G58" s="8" t="s">
        <v>29</v>
      </c>
      <c r="H58" s="19" t="n">
        <v>0</v>
      </c>
      <c r="I58" s="18" t="n">
        <f aca="false">IF(G58="","",INDEX(Assumptions!$B$9:$C$13,MATCH(B58,Assumptions!$A$9:$A$13,0),MATCH(G58,Assumptions!$B$8:$C$8,0)))</f>
        <v>215</v>
      </c>
      <c r="J58" s="18" t="n">
        <f aca="false">ROUND(SUMIFS($H$5:$H$300,$E$5:$E$300,2000,$G$5:$G$300,G58,$B$5:$B$300,"&lt;"&amp;B58)*(I58-INDEX(Assumptions!$B$9:$C$13,MATCH(B56,Assumptions!$A$9:$A$13,0)-1,MATCH(G56,Assumptions!$B$8:$C$8,0))),2)</f>
        <v>480</v>
      </c>
      <c r="K58" s="18" t="n">
        <f aca="false">MAX(-J58,0)</f>
        <v>0</v>
      </c>
      <c r="L58" s="18" t="n">
        <f aca="false">MAX(J58,0)</f>
        <v>480</v>
      </c>
      <c r="M58" s="17" t="str">
        <f aca="false">IF(ROUND(SUMIFS($K$5:$K$300,$A$5:$A$300,A58)-SUMIFS($L$5:$L$300,$A$5:$A$300,A58),2)=0,"OK","UNBALANCED")</f>
        <v>OK</v>
      </c>
    </row>
    <row r="59" customFormat="false" ht="15" hidden="false" customHeight="false" outlineLevel="0" collapsed="false">
      <c r="A59" s="8" t="n">
        <v>20</v>
      </c>
      <c r="B59" s="16" t="n">
        <v>46303</v>
      </c>
      <c r="C59" s="8" t="s">
        <v>123</v>
      </c>
      <c r="D59" s="8" t="s">
        <v>108</v>
      </c>
      <c r="E59" s="8" t="n">
        <v>4200</v>
      </c>
      <c r="F59" s="17" t="str">
        <f aca="false">INDEX(COA!$B$5:$B$12,MATCH(E59,COA!$A$5:$A$12,0))</f>
        <v>FV gain/loss - token liability</v>
      </c>
      <c r="J59" s="18" t="n">
        <f aca="false">J58</f>
        <v>480</v>
      </c>
      <c r="K59" s="18" t="n">
        <f aca="false">MAX(J59,0)</f>
        <v>480</v>
      </c>
      <c r="L59" s="18" t="n">
        <f aca="false">MAX(-J59,0)</f>
        <v>0</v>
      </c>
      <c r="M59" s="17" t="str">
        <f aca="false">IF(ROUND(SUMIFS($K$5:$K$300,$A$5:$A$300,A59)-SUMIFS($L$5:$L$300,$A$5:$A$300,A59),2)=0,"OK","UNBALANCED")</f>
        <v>OK</v>
      </c>
    </row>
    <row r="60" customFormat="false" ht="15" hidden="false" customHeight="false" outlineLevel="0" collapsed="false">
      <c r="A60" s="8" t="n">
        <v>21</v>
      </c>
      <c r="B60" s="16" t="n">
        <v>46303</v>
      </c>
      <c r="C60" s="8" t="s">
        <v>124</v>
      </c>
      <c r="D60" s="8" t="s">
        <v>110</v>
      </c>
      <c r="E60" s="8" t="n">
        <v>1100</v>
      </c>
      <c r="F60" s="17" t="str">
        <f aca="false">INDEX(COA!$B$5:$B$12,MATCH(E60,COA!$A$5:$A$12,0))</f>
        <v>Investments in underlying shares (FVTPL)</v>
      </c>
      <c r="G60" s="8" t="s">
        <v>30</v>
      </c>
      <c r="H60" s="19" t="n">
        <v>0</v>
      </c>
      <c r="I60" s="18" t="n">
        <f aca="false">IF(G60="","",INDEX(Assumptions!$B$9:$C$13,MATCH(B60,Assumptions!$A$9:$A$13,0),MATCH(G60,Assumptions!$B$8:$C$8,0)))</f>
        <v>127</v>
      </c>
      <c r="J60" s="18" t="n">
        <f aca="false">ROUND(SUMIFS($H$5:$H$300,$E$5:$E$300,1100,$G$5:$G$300,G60,$B$5:$B$300,"&lt;"&amp;B60)*(I60-INDEX(Assumptions!$B$9:$C$13,MATCH(B60,Assumptions!$A$9:$A$13,0)-1,MATCH(G60,Assumptions!$B$8:$C$8,0))),2)</f>
        <v>1400</v>
      </c>
      <c r="K60" s="18" t="n">
        <f aca="false">MAX(J60,0)</f>
        <v>1400</v>
      </c>
      <c r="L60" s="18" t="n">
        <f aca="false">MAX(-J60,0)</f>
        <v>0</v>
      </c>
      <c r="M60" s="17" t="str">
        <f aca="false">IF(ROUND(SUMIFS($K$5:$K$300,$A$5:$A$300,A60)-SUMIFS($L$5:$L$300,$A$5:$A$300,A60),2)=0,"OK","UNBALANCED")</f>
        <v>OK</v>
      </c>
    </row>
    <row r="61" customFormat="false" ht="15" hidden="false" customHeight="false" outlineLevel="0" collapsed="false">
      <c r="A61" s="8" t="n">
        <v>21</v>
      </c>
      <c r="B61" s="16" t="n">
        <v>46303</v>
      </c>
      <c r="C61" s="8" t="s">
        <v>124</v>
      </c>
      <c r="D61" s="8" t="s">
        <v>110</v>
      </c>
      <c r="E61" s="8" t="n">
        <v>4100</v>
      </c>
      <c r="F61" s="17" t="str">
        <f aca="false">INDEX(COA!$B$5:$B$12,MATCH(E61,COA!$A$5:$A$12,0))</f>
        <v>FV gain/loss - underlying investments</v>
      </c>
      <c r="J61" s="18" t="n">
        <f aca="false">J60</f>
        <v>1400</v>
      </c>
      <c r="K61" s="18" t="n">
        <f aca="false">MAX(-J61,0)</f>
        <v>0</v>
      </c>
      <c r="L61" s="18" t="n">
        <f aca="false">MAX(J61,0)</f>
        <v>1400</v>
      </c>
      <c r="M61" s="17" t="str">
        <f aca="false">IF(ROUND(SUMIFS($K$5:$K$300,$A$5:$A$300,A61)-SUMIFS($L$5:$L$300,$A$5:$A$300,A61),2)=0,"OK","UNBALANCED")</f>
        <v>OK</v>
      </c>
    </row>
    <row r="62" customFormat="false" ht="15" hidden="false" customHeight="false" outlineLevel="0" collapsed="false">
      <c r="A62" s="8" t="n">
        <v>21</v>
      </c>
      <c r="B62" s="16" t="n">
        <v>46303</v>
      </c>
      <c r="C62" s="8" t="s">
        <v>124</v>
      </c>
      <c r="D62" s="8" t="s">
        <v>110</v>
      </c>
      <c r="E62" s="8" t="n">
        <v>2000</v>
      </c>
      <c r="F62" s="17" t="str">
        <f aca="false">INDEX(COA!$B$5:$B$12,MATCH(E62,COA!$A$5:$A$12,0))</f>
        <v>Token liability (FVTPL)</v>
      </c>
      <c r="G62" s="8" t="s">
        <v>30</v>
      </c>
      <c r="H62" s="19" t="n">
        <v>0</v>
      </c>
      <c r="I62" s="18" t="n">
        <f aca="false">IF(G62="","",INDEX(Assumptions!$B$9:$C$13,MATCH(B62,Assumptions!$A$9:$A$13,0),MATCH(G62,Assumptions!$B$8:$C$8,0)))</f>
        <v>127</v>
      </c>
      <c r="J62" s="18" t="n">
        <f aca="false">ROUND(SUMIFS($H$5:$H$300,$E$5:$E$300,2000,$G$5:$G$300,G62,$B$5:$B$300,"&lt;"&amp;B62)*(I62-INDEX(Assumptions!$B$9:$C$13,MATCH(B60,Assumptions!$A$9:$A$13,0)-1,MATCH(G60,Assumptions!$B$8:$C$8,0))),2)</f>
        <v>1400</v>
      </c>
      <c r="K62" s="18" t="n">
        <f aca="false">MAX(-J62,0)</f>
        <v>0</v>
      </c>
      <c r="L62" s="18" t="n">
        <f aca="false">MAX(J62,0)</f>
        <v>1400</v>
      </c>
      <c r="M62" s="17" t="str">
        <f aca="false">IF(ROUND(SUMIFS($K$5:$K$300,$A$5:$A$300,A62)-SUMIFS($L$5:$L$300,$A$5:$A$300,A62),2)=0,"OK","UNBALANCED")</f>
        <v>OK</v>
      </c>
    </row>
    <row r="63" customFormat="false" ht="15" hidden="false" customHeight="false" outlineLevel="0" collapsed="false">
      <c r="A63" s="8" t="n">
        <v>21</v>
      </c>
      <c r="B63" s="16" t="n">
        <v>46303</v>
      </c>
      <c r="C63" s="8" t="s">
        <v>124</v>
      </c>
      <c r="D63" s="8" t="s">
        <v>110</v>
      </c>
      <c r="E63" s="8" t="n">
        <v>4200</v>
      </c>
      <c r="F63" s="17" t="str">
        <f aca="false">INDEX(COA!$B$5:$B$12,MATCH(E63,COA!$A$5:$A$12,0))</f>
        <v>FV gain/loss - token liability</v>
      </c>
      <c r="J63" s="18" t="n">
        <f aca="false">J62</f>
        <v>1400</v>
      </c>
      <c r="K63" s="18" t="n">
        <f aca="false">MAX(J63,0)</f>
        <v>1400</v>
      </c>
      <c r="L63" s="18" t="n">
        <f aca="false">MAX(-J63,0)</f>
        <v>0</v>
      </c>
      <c r="M63" s="17" t="str">
        <f aca="false">IF(ROUND(SUMIFS($K$5:$K$300,$A$5:$A$300,A63)-SUMIFS($L$5:$L$300,$A$5:$A$300,A63),2)=0,"OK","UNBALANCED")</f>
        <v>OK</v>
      </c>
    </row>
    <row r="64" customFormat="false" ht="15" hidden="false" customHeight="false" outlineLevel="0" collapsed="false">
      <c r="A64" s="8" t="n">
        <v>22</v>
      </c>
      <c r="B64" s="16" t="n">
        <v>46303</v>
      </c>
      <c r="C64" s="8" t="s">
        <v>67</v>
      </c>
      <c r="D64" s="8" t="s">
        <v>125</v>
      </c>
      <c r="E64" s="8" t="n">
        <v>2000</v>
      </c>
      <c r="F64" s="17" t="str">
        <f aca="false">INDEX(COA!$B$5:$B$12,MATCH(E64,COA!$A$5:$A$12,0))</f>
        <v>Token liability (FVTPL)</v>
      </c>
      <c r="G64" s="8" t="s">
        <v>30</v>
      </c>
      <c r="H64" s="19" t="n">
        <v>-10</v>
      </c>
      <c r="I64" s="18" t="n">
        <f aca="false">IF(G64="","",INDEX(Assumptions!$B$9:$C$13,MATCH(B64,Assumptions!$A$9:$A$13,0),MATCH(G64,Assumptions!$B$8:$C$8,0)))</f>
        <v>127</v>
      </c>
      <c r="J64" s="18" t="n">
        <f aca="false">ROUND(ABS(H64)*I64,2)</f>
        <v>1270</v>
      </c>
      <c r="K64" s="18" t="n">
        <f aca="false">J64</f>
        <v>1270</v>
      </c>
      <c r="L64" s="18"/>
      <c r="M64" s="17" t="str">
        <f aca="false">IF(ROUND(SUMIFS($K$5:$K$300,$A$5:$A$300,A64)-SUMIFS($L$5:$L$300,$A$5:$A$300,A64),2)=0,"OK","UNBALANCED")</f>
        <v>OK</v>
      </c>
    </row>
    <row r="65" customFormat="false" ht="15" hidden="false" customHeight="false" outlineLevel="0" collapsed="false">
      <c r="A65" s="8" t="n">
        <v>22</v>
      </c>
      <c r="B65" s="16" t="n">
        <v>46303</v>
      </c>
      <c r="C65" s="8" t="s">
        <v>67</v>
      </c>
      <c r="D65" s="8" t="s">
        <v>125</v>
      </c>
      <c r="E65" s="8" t="n">
        <v>1000</v>
      </c>
      <c r="F65" s="17" t="str">
        <f aca="false">INDEX(COA!$B$5:$B$12,MATCH(E65,COA!$A$5:$A$12,0))</f>
        <v>Cash</v>
      </c>
      <c r="J65" s="18" t="n">
        <f aca="false">J64-J66</f>
        <v>1263.65</v>
      </c>
      <c r="K65" s="18"/>
      <c r="L65" s="18" t="n">
        <f aca="false">J65</f>
        <v>1263.65</v>
      </c>
      <c r="M65" s="17" t="str">
        <f aca="false">IF(ROUND(SUMIFS($K$5:$K$300,$A$5:$A$300,A65)-SUMIFS($L$5:$L$300,$A$5:$A$300,A65),2)=0,"OK","UNBALANCED")</f>
        <v>OK</v>
      </c>
    </row>
    <row r="66" customFormat="false" ht="15" hidden="false" customHeight="false" outlineLevel="0" collapsed="false">
      <c r="A66" s="8" t="n">
        <v>22</v>
      </c>
      <c r="B66" s="16" t="n">
        <v>46303</v>
      </c>
      <c r="C66" s="8" t="s">
        <v>67</v>
      </c>
      <c r="D66" s="8" t="s">
        <v>125</v>
      </c>
      <c r="E66" s="8" t="n">
        <v>4000</v>
      </c>
      <c r="F66" s="17" t="str">
        <f aca="false">INDEX(COA!$B$5:$B$12,MATCH(E66,COA!$A$5:$A$12,0))</f>
        <v>Fee income</v>
      </c>
      <c r="J66" s="18" t="n">
        <f aca="false">ROUND(J64*Assumptions!$B$3,2)</f>
        <v>6.35</v>
      </c>
      <c r="K66" s="18"/>
      <c r="L66" s="18" t="n">
        <f aca="false">J66</f>
        <v>6.35</v>
      </c>
      <c r="M66" s="17" t="str">
        <f aca="false">IF(ROUND(SUMIFS($K$5:$K$300,$A$5:$A$300,A66)-SUMIFS($L$5:$L$300,$A$5:$A$300,A66),2)=0,"OK","UNBALANCED")</f>
        <v>OK</v>
      </c>
    </row>
    <row r="67" customFormat="false" ht="15" hidden="false" customHeight="false" outlineLevel="0" collapsed="false">
      <c r="A67" s="8" t="n">
        <v>23</v>
      </c>
      <c r="B67" s="16" t="n">
        <v>46303</v>
      </c>
      <c r="C67" s="8" t="s">
        <v>85</v>
      </c>
      <c r="D67" s="8" t="s">
        <v>126</v>
      </c>
      <c r="E67" s="8" t="n">
        <v>1200</v>
      </c>
      <c r="F67" s="17" t="str">
        <f aca="false">INDEX(COA!$B$5:$B$12,MATCH(E67,COA!$A$5:$A$12,0))</f>
        <v>Due from broker (unsettled sales)</v>
      </c>
      <c r="J67" s="18"/>
      <c r="K67" s="18" t="n">
        <f aca="false">J68</f>
        <v>12700</v>
      </c>
      <c r="L67" s="18"/>
      <c r="M67" s="17" t="str">
        <f aca="false">IF(ROUND(SUMIFS($K$5:$K$300,$A$5:$A$300,A67)-SUMIFS($L$5:$L$300,$A$5:$A$300,A67),2)=0,"OK","UNBALANCED")</f>
        <v>OK</v>
      </c>
    </row>
    <row r="68" customFormat="false" ht="15" hidden="false" customHeight="false" outlineLevel="0" collapsed="false">
      <c r="A68" s="8" t="n">
        <v>23</v>
      </c>
      <c r="B68" s="16" t="n">
        <v>46303</v>
      </c>
      <c r="C68" s="8" t="s">
        <v>85</v>
      </c>
      <c r="D68" s="8" t="s">
        <v>126</v>
      </c>
      <c r="E68" s="8" t="n">
        <v>1100</v>
      </c>
      <c r="F68" s="17" t="str">
        <f aca="false">INDEX(COA!$B$5:$B$12,MATCH(E68,COA!$A$5:$A$12,0))</f>
        <v>Investments in underlying shares (FVTPL)</v>
      </c>
      <c r="G68" s="8" t="s">
        <v>30</v>
      </c>
      <c r="H68" s="19" t="n">
        <v>-100</v>
      </c>
      <c r="I68" s="18" t="n">
        <f aca="false">IF(G68="","",INDEX(Assumptions!$B$9:$C$13,MATCH(B68,Assumptions!$A$9:$A$13,0),MATCH(G68,Assumptions!$B$8:$C$8,0)))</f>
        <v>127</v>
      </c>
      <c r="J68" s="18" t="n">
        <f aca="false">ROUND(ABS(H68)*I68,2)</f>
        <v>12700</v>
      </c>
      <c r="K68" s="18"/>
      <c r="L68" s="18" t="n">
        <f aca="false">J68</f>
        <v>12700</v>
      </c>
      <c r="M68" s="17" t="str">
        <f aca="false">IF(ROUND(SUMIFS($K$5:$K$300,$A$5:$A$300,A68)-SUMIFS($L$5:$L$300,$A$5:$A$300,A68),2)=0,"OK","UNBALANCED")</f>
        <v>OK</v>
      </c>
    </row>
    <row r="69" customFormat="false" ht="15" hidden="false" customHeight="false" outlineLevel="0" collapsed="false">
      <c r="A69" s="8" t="n">
        <v>24</v>
      </c>
      <c r="B69" s="16" t="n">
        <v>46303</v>
      </c>
      <c r="C69" s="8" t="s">
        <v>67</v>
      </c>
      <c r="D69" s="8" t="s">
        <v>127</v>
      </c>
      <c r="E69" s="8" t="n">
        <v>2000</v>
      </c>
      <c r="F69" s="17" t="str">
        <f aca="false">INDEX(COA!$B$5:$B$12,MATCH(E69,COA!$A$5:$A$12,0))</f>
        <v>Token liability (FVTPL)</v>
      </c>
      <c r="G69" s="8" t="s">
        <v>30</v>
      </c>
      <c r="H69" s="19" t="n">
        <v>-90</v>
      </c>
      <c r="I69" s="18" t="n">
        <f aca="false">IF(G69="","",INDEX(Assumptions!$B$9:$C$13,MATCH(B69,Assumptions!$A$9:$A$13,0),MATCH(G69,Assumptions!$B$8:$C$8,0)))</f>
        <v>127</v>
      </c>
      <c r="J69" s="18" t="n">
        <f aca="false">ROUND(ABS(H69)*I69,2)</f>
        <v>11430</v>
      </c>
      <c r="K69" s="18" t="n">
        <f aca="false">J69</f>
        <v>11430</v>
      </c>
      <c r="L69" s="18"/>
      <c r="M69" s="17" t="str">
        <f aca="false">IF(ROUND(SUMIFS($K$5:$K$300,$A$5:$A$300,A69)-SUMIFS($L$5:$L$300,$A$5:$A$300,A69),2)=0,"OK","UNBALANCED")</f>
        <v>OK</v>
      </c>
    </row>
    <row r="70" customFormat="false" ht="15" hidden="false" customHeight="false" outlineLevel="0" collapsed="false">
      <c r="A70" s="8" t="n">
        <v>24</v>
      </c>
      <c r="B70" s="16" t="n">
        <v>46303</v>
      </c>
      <c r="C70" s="8" t="s">
        <v>67</v>
      </c>
      <c r="D70" s="8" t="s">
        <v>127</v>
      </c>
      <c r="E70" s="8" t="n">
        <v>1000</v>
      </c>
      <c r="F70" s="17" t="str">
        <f aca="false">INDEX(COA!$B$5:$B$12,MATCH(E70,COA!$A$5:$A$12,0))</f>
        <v>Cash</v>
      </c>
      <c r="J70" s="18" t="n">
        <f aca="false">J69-J71</f>
        <v>11372.85</v>
      </c>
      <c r="K70" s="18"/>
      <c r="L70" s="18" t="n">
        <f aca="false">J70</f>
        <v>11372.85</v>
      </c>
      <c r="M70" s="17" t="str">
        <f aca="false">IF(ROUND(SUMIFS($K$5:$K$300,$A$5:$A$300,A70)-SUMIFS($L$5:$L$300,$A$5:$A$300,A70),2)=0,"OK","UNBALANCED")</f>
        <v>OK</v>
      </c>
    </row>
    <row r="71" customFormat="false" ht="15" hidden="false" customHeight="false" outlineLevel="0" collapsed="false">
      <c r="A71" s="8" t="n">
        <v>24</v>
      </c>
      <c r="B71" s="16" t="n">
        <v>46303</v>
      </c>
      <c r="C71" s="8" t="s">
        <v>67</v>
      </c>
      <c r="D71" s="8" t="s">
        <v>127</v>
      </c>
      <c r="E71" s="8" t="n">
        <v>4000</v>
      </c>
      <c r="F71" s="17" t="str">
        <f aca="false">INDEX(COA!$B$5:$B$12,MATCH(E71,COA!$A$5:$A$12,0))</f>
        <v>Fee income</v>
      </c>
      <c r="J71" s="18" t="n">
        <f aca="false">ROUND(J69*Assumptions!$B$3,2)</f>
        <v>57.15</v>
      </c>
      <c r="K71" s="18"/>
      <c r="L71" s="18" t="n">
        <f aca="false">J71</f>
        <v>57.15</v>
      </c>
      <c r="M71" s="17" t="str">
        <f aca="false">IF(ROUND(SUMIFS($K$5:$K$300,$A$5:$A$300,A71)-SUMIFS($L$5:$L$300,$A$5:$A$300,A71),2)=0,"OK","UNBALANCED")</f>
        <v>OK</v>
      </c>
    </row>
    <row r="72" customFormat="false" ht="15" hidden="false" customHeight="false" outlineLevel="0" collapsed="false">
      <c r="A72" s="8" t="n">
        <v>25</v>
      </c>
      <c r="B72" s="16" t="n">
        <v>46303</v>
      </c>
      <c r="C72" s="8" t="s">
        <v>68</v>
      </c>
      <c r="D72" s="8" t="s">
        <v>128</v>
      </c>
      <c r="E72" s="8" t="n">
        <v>1000</v>
      </c>
      <c r="F72" s="17" t="str">
        <f aca="false">INDEX(COA!$B$5:$B$12,MATCH(E72,COA!$A$5:$A$12,0))</f>
        <v>Cash</v>
      </c>
      <c r="J72" s="18" t="n">
        <f aca="false">J73+J74</f>
        <v>8643</v>
      </c>
      <c r="K72" s="18" t="n">
        <f aca="false">J72</f>
        <v>8643</v>
      </c>
      <c r="L72" s="18"/>
      <c r="M72" s="17" t="str">
        <f aca="false">IF(ROUND(SUMIFS($K$5:$K$300,$A$5:$A$300,A72)-SUMIFS($L$5:$L$300,$A$5:$A$300,A72),2)=0,"OK","UNBALANCED")</f>
        <v>OK</v>
      </c>
    </row>
    <row r="73" customFormat="false" ht="15" hidden="false" customHeight="false" outlineLevel="0" collapsed="false">
      <c r="A73" s="8" t="n">
        <v>25</v>
      </c>
      <c r="B73" s="16" t="n">
        <v>46303</v>
      </c>
      <c r="C73" s="8" t="s">
        <v>68</v>
      </c>
      <c r="D73" s="8" t="s">
        <v>128</v>
      </c>
      <c r="E73" s="8" t="n">
        <v>2000</v>
      </c>
      <c r="F73" s="17" t="str">
        <f aca="false">INDEX(COA!$B$5:$B$12,MATCH(E73,COA!$A$5:$A$12,0))</f>
        <v>Token liability (FVTPL)</v>
      </c>
      <c r="G73" s="8" t="s">
        <v>29</v>
      </c>
      <c r="H73" s="19" t="n">
        <v>40</v>
      </c>
      <c r="I73" s="18" t="n">
        <f aca="false">IF(G73="","",INDEX(Assumptions!$B$9:$C$13,MATCH(B73,Assumptions!$A$9:$A$13,0),MATCH(G73,Assumptions!$B$8:$C$8,0)))</f>
        <v>215</v>
      </c>
      <c r="J73" s="18" t="n">
        <f aca="false">ROUND(ABS(H73)*I73,2)</f>
        <v>8600</v>
      </c>
      <c r="K73" s="18"/>
      <c r="L73" s="18" t="n">
        <f aca="false">J73</f>
        <v>8600</v>
      </c>
      <c r="M73" s="17" t="str">
        <f aca="false">IF(ROUND(SUMIFS($K$5:$K$300,$A$5:$A$300,A73)-SUMIFS($L$5:$L$300,$A$5:$A$300,A73),2)=0,"OK","UNBALANCED")</f>
        <v>OK</v>
      </c>
    </row>
    <row r="74" customFormat="false" ht="15" hidden="false" customHeight="false" outlineLevel="0" collapsed="false">
      <c r="A74" s="8" t="n">
        <v>25</v>
      </c>
      <c r="B74" s="16" t="n">
        <v>46303</v>
      </c>
      <c r="C74" s="8" t="s">
        <v>68</v>
      </c>
      <c r="D74" s="8" t="s">
        <v>128</v>
      </c>
      <c r="E74" s="8" t="n">
        <v>4000</v>
      </c>
      <c r="F74" s="17" t="str">
        <f aca="false">INDEX(COA!$B$5:$B$12,MATCH(E74,COA!$A$5:$A$12,0))</f>
        <v>Fee income</v>
      </c>
      <c r="J74" s="18" t="n">
        <f aca="false">ROUND(J73*Assumptions!$B$3,2)</f>
        <v>43</v>
      </c>
      <c r="K74" s="18"/>
      <c r="L74" s="18" t="n">
        <f aca="false">J74</f>
        <v>43</v>
      </c>
      <c r="M74" s="17" t="str">
        <f aca="false">IF(ROUND(SUMIFS($K$5:$K$300,$A$5:$A$300,A74)-SUMIFS($L$5:$L$300,$A$5:$A$300,A74),2)=0,"OK","UNBALANCED")</f>
        <v>OK</v>
      </c>
    </row>
    <row r="75" customFormat="false" ht="15" hidden="false" customHeight="false" outlineLevel="0" collapsed="false">
      <c r="A75" s="8" t="n">
        <v>26</v>
      </c>
      <c r="B75" s="16" t="n">
        <v>46303</v>
      </c>
      <c r="C75" s="8" t="s">
        <v>86</v>
      </c>
      <c r="D75" s="8" t="s">
        <v>129</v>
      </c>
      <c r="E75" s="8" t="n">
        <v>1100</v>
      </c>
      <c r="F75" s="17" t="str">
        <f aca="false">INDEX(COA!$B$5:$B$12,MATCH(E75,COA!$A$5:$A$12,0))</f>
        <v>Investments in underlying shares (FVTPL)</v>
      </c>
      <c r="G75" s="8" t="s">
        <v>29</v>
      </c>
      <c r="H75" s="19" t="n">
        <v>40</v>
      </c>
      <c r="I75" s="18" t="n">
        <f aca="false">IF(G75="","",INDEX(Assumptions!$B$9:$C$13,MATCH(B75,Assumptions!$A$9:$A$13,0),MATCH(G75,Assumptions!$B$8:$C$8,0)))</f>
        <v>215</v>
      </c>
      <c r="J75" s="18" t="n">
        <f aca="false">ROUND(ABS(H75)*I75,2)</f>
        <v>8600</v>
      </c>
      <c r="K75" s="18" t="n">
        <f aca="false">J75</f>
        <v>8600</v>
      </c>
      <c r="L75" s="18"/>
      <c r="M75" s="17" t="str">
        <f aca="false">IF(ROUND(SUMIFS($K$5:$K$300,$A$5:$A$300,A75)-SUMIFS($L$5:$L$300,$A$5:$A$300,A75),2)=0,"OK","UNBALANCED")</f>
        <v>OK</v>
      </c>
    </row>
    <row r="76" customFormat="false" ht="15" hidden="false" customHeight="false" outlineLevel="0" collapsed="false">
      <c r="A76" s="8" t="n">
        <v>26</v>
      </c>
      <c r="B76" s="16" t="n">
        <v>46303</v>
      </c>
      <c r="C76" s="8" t="s">
        <v>86</v>
      </c>
      <c r="D76" s="8" t="s">
        <v>129</v>
      </c>
      <c r="E76" s="8" t="n">
        <v>2100</v>
      </c>
      <c r="F76" s="17" t="str">
        <f aca="false">INDEX(COA!$B$5:$B$12,MATCH(E76,COA!$A$5:$A$12,0))</f>
        <v>Due to broker (unsettled purchases)</v>
      </c>
      <c r="J76" s="18"/>
      <c r="K76" s="18"/>
      <c r="L76" s="18" t="n">
        <f aca="false">J75</f>
        <v>8600</v>
      </c>
      <c r="M76" s="17" t="str">
        <f aca="false">IF(ROUND(SUMIFS($K$5:$K$300,$A$5:$A$300,A76)-SUMIFS($L$5:$L$300,$A$5:$A$300,A76),2)=0,"OK","UNBALANCED")</f>
        <v>OK</v>
      </c>
    </row>
    <row r="77" customFormat="false" ht="15" hidden="false" customHeight="false" outlineLevel="0" collapsed="false">
      <c r="A77" s="8" t="n">
        <v>27</v>
      </c>
      <c r="B77" s="16" t="n">
        <v>46304</v>
      </c>
      <c r="C77" s="8" t="s">
        <v>130</v>
      </c>
      <c r="D77" s="8" t="s">
        <v>121</v>
      </c>
      <c r="E77" s="8" t="n">
        <v>1000</v>
      </c>
      <c r="F77" s="17" t="str">
        <f aca="false">INDEX(COA!$B$5:$B$12,MATCH(E77,COA!$A$5:$A$12,0))</f>
        <v>Cash</v>
      </c>
      <c r="J77" s="18" t="n">
        <f aca="false">J68</f>
        <v>12700</v>
      </c>
      <c r="K77" s="18" t="n">
        <f aca="false">J77</f>
        <v>12700</v>
      </c>
      <c r="L77" s="18"/>
      <c r="M77" s="17" t="str">
        <f aca="false">IF(ROUND(SUMIFS($K$5:$K$300,$A$5:$A$300,A77)-SUMIFS($L$5:$L$300,$A$5:$A$300,A77),2)=0,"OK","UNBALANCED")</f>
        <v>OK</v>
      </c>
    </row>
    <row r="78" customFormat="false" ht="15" hidden="false" customHeight="false" outlineLevel="0" collapsed="false">
      <c r="A78" s="8" t="n">
        <v>27</v>
      </c>
      <c r="B78" s="16" t="n">
        <v>46304</v>
      </c>
      <c r="C78" s="8" t="s">
        <v>130</v>
      </c>
      <c r="D78" s="8" t="s">
        <v>121</v>
      </c>
      <c r="E78" s="8" t="n">
        <v>1200</v>
      </c>
      <c r="F78" s="17" t="str">
        <f aca="false">INDEX(COA!$B$5:$B$12,MATCH(E78,COA!$A$5:$A$12,0))</f>
        <v>Due from broker (unsettled sales)</v>
      </c>
      <c r="J78" s="18"/>
      <c r="K78" s="18"/>
      <c r="L78" s="18" t="n">
        <f aca="false">J77</f>
        <v>12700</v>
      </c>
      <c r="M78" s="17" t="str">
        <f aca="false">IF(ROUND(SUMIFS($K$5:$K$300,$A$5:$A$300,A78)-SUMIFS($L$5:$L$300,$A$5:$A$300,A78),2)=0,"OK","UNBALANCED")</f>
        <v>OK</v>
      </c>
    </row>
    <row r="79" customFormat="false" ht="15" hidden="false" customHeight="false" outlineLevel="0" collapsed="false">
      <c r="A79" s="8" t="n">
        <v>28</v>
      </c>
      <c r="B79" s="16" t="n">
        <v>46304</v>
      </c>
      <c r="C79" s="8" t="s">
        <v>131</v>
      </c>
      <c r="D79" s="8" t="s">
        <v>105</v>
      </c>
      <c r="E79" s="8" t="n">
        <v>2100</v>
      </c>
      <c r="F79" s="17" t="str">
        <f aca="false">INDEX(COA!$B$5:$B$12,MATCH(E79,COA!$A$5:$A$12,0))</f>
        <v>Due to broker (unsettled purchases)</v>
      </c>
      <c r="J79" s="18" t="n">
        <f aca="false">J75</f>
        <v>8600</v>
      </c>
      <c r="K79" s="18" t="n">
        <f aca="false">J79</f>
        <v>8600</v>
      </c>
      <c r="L79" s="18"/>
      <c r="M79" s="17" t="str">
        <f aca="false">IF(ROUND(SUMIFS($K$5:$K$300,$A$5:$A$300,A79)-SUMIFS($L$5:$L$300,$A$5:$A$300,A79),2)=0,"OK","UNBALANCED")</f>
        <v>OK</v>
      </c>
    </row>
    <row r="80" customFormat="false" ht="15" hidden="false" customHeight="false" outlineLevel="0" collapsed="false">
      <c r="A80" s="8" t="n">
        <v>28</v>
      </c>
      <c r="B80" s="16" t="n">
        <v>46304</v>
      </c>
      <c r="C80" s="8" t="s">
        <v>131</v>
      </c>
      <c r="D80" s="8" t="s">
        <v>105</v>
      </c>
      <c r="E80" s="8" t="n">
        <v>1000</v>
      </c>
      <c r="F80" s="17" t="str">
        <f aca="false">INDEX(COA!$B$5:$B$12,MATCH(E80,COA!$A$5:$A$12,0))</f>
        <v>Cash</v>
      </c>
      <c r="J80" s="18"/>
      <c r="K80" s="18"/>
      <c r="L80" s="18" t="n">
        <f aca="false">J79</f>
        <v>8600</v>
      </c>
      <c r="M80" s="17" t="str">
        <f aca="false">IF(ROUND(SUMIFS($K$5:$K$300,$A$5:$A$300,A80)-SUMIFS($L$5:$L$300,$A$5:$A$300,A80),2)=0,"OK","UNBALANCED")</f>
        <v>OK</v>
      </c>
    </row>
    <row r="81" customFormat="false" ht="15" hidden="false" customHeight="false" outlineLevel="0" collapsed="false">
      <c r="A81" s="8" t="n">
        <v>29</v>
      </c>
      <c r="B81" s="16" t="n">
        <v>46304</v>
      </c>
      <c r="C81" s="8" t="s">
        <v>132</v>
      </c>
      <c r="D81" s="8" t="s">
        <v>108</v>
      </c>
      <c r="E81" s="8" t="n">
        <v>1100</v>
      </c>
      <c r="F81" s="17" t="str">
        <f aca="false">INDEX(COA!$B$5:$B$12,MATCH(E81,COA!$A$5:$A$12,0))</f>
        <v>Investments in underlying shares (FVTPL)</v>
      </c>
      <c r="G81" s="8" t="s">
        <v>29</v>
      </c>
      <c r="H81" s="19" t="n">
        <v>0</v>
      </c>
      <c r="I81" s="18" t="n">
        <f aca="false">IF(G81="","",INDEX(Assumptions!$B$9:$C$13,MATCH(B81,Assumptions!$A$9:$A$13,0),MATCH(G81,Assumptions!$B$8:$C$8,0)))</f>
        <v>214</v>
      </c>
      <c r="J81" s="18" t="n">
        <f aca="false">ROUND(SUMIFS($H$5:$H$300,$E$5:$E$300,1100,$G$5:$G$300,G81,$B$5:$B$300,"&lt;"&amp;B81)*(I81-INDEX(Assumptions!$B$9:$C$13,MATCH(B81,Assumptions!$A$9:$A$13,0)-1,MATCH(G81,Assumptions!$B$8:$C$8,0))),2)</f>
        <v>-160</v>
      </c>
      <c r="K81" s="18" t="n">
        <f aca="false">MAX(J81,0)</f>
        <v>0</v>
      </c>
      <c r="L81" s="18" t="n">
        <f aca="false">MAX(-J81,0)</f>
        <v>160</v>
      </c>
      <c r="M81" s="17" t="str">
        <f aca="false">IF(ROUND(SUMIFS($K$5:$K$300,$A$5:$A$300,A81)-SUMIFS($L$5:$L$300,$A$5:$A$300,A81),2)=0,"OK","UNBALANCED")</f>
        <v>OK</v>
      </c>
    </row>
    <row r="82" customFormat="false" ht="15" hidden="false" customHeight="false" outlineLevel="0" collapsed="false">
      <c r="A82" s="8" t="n">
        <v>29</v>
      </c>
      <c r="B82" s="16" t="n">
        <v>46304</v>
      </c>
      <c r="C82" s="8" t="s">
        <v>132</v>
      </c>
      <c r="D82" s="8" t="s">
        <v>108</v>
      </c>
      <c r="E82" s="8" t="n">
        <v>4100</v>
      </c>
      <c r="F82" s="17" t="str">
        <f aca="false">INDEX(COA!$B$5:$B$12,MATCH(E82,COA!$A$5:$A$12,0))</f>
        <v>FV gain/loss - underlying investments</v>
      </c>
      <c r="J82" s="18" t="n">
        <f aca="false">J81</f>
        <v>-160</v>
      </c>
      <c r="K82" s="18" t="n">
        <f aca="false">MAX(-J82,0)</f>
        <v>160</v>
      </c>
      <c r="L82" s="18" t="n">
        <f aca="false">MAX(J82,0)</f>
        <v>0</v>
      </c>
      <c r="M82" s="17" t="str">
        <f aca="false">IF(ROUND(SUMIFS($K$5:$K$300,$A$5:$A$300,A82)-SUMIFS($L$5:$L$300,$A$5:$A$300,A82),2)=0,"OK","UNBALANCED")</f>
        <v>OK</v>
      </c>
    </row>
    <row r="83" customFormat="false" ht="15" hidden="false" customHeight="false" outlineLevel="0" collapsed="false">
      <c r="A83" s="8" t="n">
        <v>29</v>
      </c>
      <c r="B83" s="16" t="n">
        <v>46304</v>
      </c>
      <c r="C83" s="8" t="s">
        <v>132</v>
      </c>
      <c r="D83" s="8" t="s">
        <v>108</v>
      </c>
      <c r="E83" s="8" t="n">
        <v>2000</v>
      </c>
      <c r="F83" s="17" t="str">
        <f aca="false">INDEX(COA!$B$5:$B$12,MATCH(E83,COA!$A$5:$A$12,0))</f>
        <v>Token liability (FVTPL)</v>
      </c>
      <c r="G83" s="8" t="s">
        <v>29</v>
      </c>
      <c r="H83" s="19" t="n">
        <v>0</v>
      </c>
      <c r="I83" s="18" t="n">
        <f aca="false">IF(G83="","",INDEX(Assumptions!$B$9:$C$13,MATCH(B83,Assumptions!$A$9:$A$13,0),MATCH(G83,Assumptions!$B$8:$C$8,0)))</f>
        <v>214</v>
      </c>
      <c r="J83" s="18" t="n">
        <f aca="false">ROUND(SUMIFS($H$5:$H$300,$E$5:$E$300,2000,$G$5:$G$300,G83,$B$5:$B$300,"&lt;"&amp;B83)*(I83-INDEX(Assumptions!$B$9:$C$13,MATCH(B81,Assumptions!$A$9:$A$13,0)-1,MATCH(G81,Assumptions!$B$8:$C$8,0))),2)</f>
        <v>-160</v>
      </c>
      <c r="K83" s="18" t="n">
        <f aca="false">MAX(-J83,0)</f>
        <v>160</v>
      </c>
      <c r="L83" s="18" t="n">
        <f aca="false">MAX(J83,0)</f>
        <v>0</v>
      </c>
      <c r="M83" s="17" t="str">
        <f aca="false">IF(ROUND(SUMIFS($K$5:$K$300,$A$5:$A$300,A83)-SUMIFS($L$5:$L$300,$A$5:$A$300,A83),2)=0,"OK","UNBALANCED")</f>
        <v>OK</v>
      </c>
    </row>
    <row r="84" customFormat="false" ht="15" hidden="false" customHeight="false" outlineLevel="0" collapsed="false">
      <c r="A84" s="8" t="n">
        <v>29</v>
      </c>
      <c r="B84" s="16" t="n">
        <v>46304</v>
      </c>
      <c r="C84" s="8" t="s">
        <v>132</v>
      </c>
      <c r="D84" s="8" t="s">
        <v>108</v>
      </c>
      <c r="E84" s="8" t="n">
        <v>4200</v>
      </c>
      <c r="F84" s="17" t="str">
        <f aca="false">INDEX(COA!$B$5:$B$12,MATCH(E84,COA!$A$5:$A$12,0))</f>
        <v>FV gain/loss - token liability</v>
      </c>
      <c r="J84" s="18" t="n">
        <f aca="false">J83</f>
        <v>-160</v>
      </c>
      <c r="K84" s="18" t="n">
        <f aca="false">MAX(J84,0)</f>
        <v>0</v>
      </c>
      <c r="L84" s="18" t="n">
        <f aca="false">MAX(-J84,0)</f>
        <v>160</v>
      </c>
      <c r="M84" s="17" t="str">
        <f aca="false">IF(ROUND(SUMIFS($K$5:$K$300,$A$5:$A$300,A84)-SUMIFS($L$5:$L$300,$A$5:$A$300,A84),2)=0,"OK","UNBALANCED")</f>
        <v>OK</v>
      </c>
    </row>
    <row r="85" customFormat="false" ht="15" hidden="false" customHeight="false" outlineLevel="0" collapsed="false">
      <c r="A85" s="8" t="n">
        <v>30</v>
      </c>
      <c r="B85" s="16" t="n">
        <v>46304</v>
      </c>
      <c r="C85" s="8" t="s">
        <v>133</v>
      </c>
      <c r="D85" s="8" t="s">
        <v>110</v>
      </c>
      <c r="E85" s="8" t="n">
        <v>1100</v>
      </c>
      <c r="F85" s="17" t="str">
        <f aca="false">INDEX(COA!$B$5:$B$12,MATCH(E85,COA!$A$5:$A$12,0))</f>
        <v>Investments in underlying shares (FVTPL)</v>
      </c>
      <c r="G85" s="8" t="s">
        <v>30</v>
      </c>
      <c r="H85" s="19" t="n">
        <v>0</v>
      </c>
      <c r="I85" s="18" t="n">
        <f aca="false">IF(G85="","",INDEX(Assumptions!$B$9:$C$13,MATCH(B85,Assumptions!$A$9:$A$13,0),MATCH(G85,Assumptions!$B$8:$C$8,0)))</f>
        <v>126</v>
      </c>
      <c r="J85" s="18" t="n">
        <f aca="false">ROUND(SUMIFS($H$5:$H$300,$E$5:$E$300,1100,$G$5:$G$300,G85,$B$5:$B$300,"&lt;"&amp;B85)*(I85-INDEX(Assumptions!$B$9:$C$13,MATCH(B85,Assumptions!$A$9:$A$13,0)-1,MATCH(G85,Assumptions!$B$8:$C$8,0))),2)</f>
        <v>-600</v>
      </c>
      <c r="K85" s="18" t="n">
        <f aca="false">MAX(J85,0)</f>
        <v>0</v>
      </c>
      <c r="L85" s="18" t="n">
        <f aca="false">MAX(-J85,0)</f>
        <v>600</v>
      </c>
      <c r="M85" s="17" t="str">
        <f aca="false">IF(ROUND(SUMIFS($K$5:$K$300,$A$5:$A$300,A85)-SUMIFS($L$5:$L$300,$A$5:$A$300,A85),2)=0,"OK","UNBALANCED")</f>
        <v>OK</v>
      </c>
    </row>
    <row r="86" customFormat="false" ht="15" hidden="false" customHeight="false" outlineLevel="0" collapsed="false">
      <c r="A86" s="8" t="n">
        <v>30</v>
      </c>
      <c r="B86" s="16" t="n">
        <v>46304</v>
      </c>
      <c r="C86" s="8" t="s">
        <v>133</v>
      </c>
      <c r="D86" s="8" t="s">
        <v>110</v>
      </c>
      <c r="E86" s="8" t="n">
        <v>4100</v>
      </c>
      <c r="F86" s="17" t="str">
        <f aca="false">INDEX(COA!$B$5:$B$12,MATCH(E86,COA!$A$5:$A$12,0))</f>
        <v>FV gain/loss - underlying investments</v>
      </c>
      <c r="J86" s="18" t="n">
        <f aca="false">J85</f>
        <v>-600</v>
      </c>
      <c r="K86" s="18" t="n">
        <f aca="false">MAX(-J86,0)</f>
        <v>600</v>
      </c>
      <c r="L86" s="18" t="n">
        <f aca="false">MAX(J86,0)</f>
        <v>0</v>
      </c>
      <c r="M86" s="17" t="str">
        <f aca="false">IF(ROUND(SUMIFS($K$5:$K$300,$A$5:$A$300,A86)-SUMIFS($L$5:$L$300,$A$5:$A$300,A86),2)=0,"OK","UNBALANCED")</f>
        <v>OK</v>
      </c>
    </row>
    <row r="87" customFormat="false" ht="15" hidden="false" customHeight="false" outlineLevel="0" collapsed="false">
      <c r="A87" s="8" t="n">
        <v>30</v>
      </c>
      <c r="B87" s="16" t="n">
        <v>46304</v>
      </c>
      <c r="C87" s="8" t="s">
        <v>133</v>
      </c>
      <c r="D87" s="8" t="s">
        <v>110</v>
      </c>
      <c r="E87" s="8" t="n">
        <v>2000</v>
      </c>
      <c r="F87" s="17" t="str">
        <f aca="false">INDEX(COA!$B$5:$B$12,MATCH(E87,COA!$A$5:$A$12,0))</f>
        <v>Token liability (FVTPL)</v>
      </c>
      <c r="G87" s="8" t="s">
        <v>30</v>
      </c>
      <c r="H87" s="19" t="n">
        <v>0</v>
      </c>
      <c r="I87" s="18" t="n">
        <f aca="false">IF(G87="","",INDEX(Assumptions!$B$9:$C$13,MATCH(B87,Assumptions!$A$9:$A$13,0),MATCH(G87,Assumptions!$B$8:$C$8,0)))</f>
        <v>126</v>
      </c>
      <c r="J87" s="18" t="n">
        <f aca="false">ROUND(SUMIFS($H$5:$H$300,$E$5:$E$300,2000,$G$5:$G$300,G87,$B$5:$B$300,"&lt;"&amp;B87)*(I87-INDEX(Assumptions!$B$9:$C$13,MATCH(B85,Assumptions!$A$9:$A$13,0)-1,MATCH(G85,Assumptions!$B$8:$C$8,0))),2)</f>
        <v>-600</v>
      </c>
      <c r="K87" s="18" t="n">
        <f aca="false">MAX(-J87,0)</f>
        <v>600</v>
      </c>
      <c r="L87" s="18" t="n">
        <f aca="false">MAX(J87,0)</f>
        <v>0</v>
      </c>
      <c r="M87" s="17" t="str">
        <f aca="false">IF(ROUND(SUMIFS($K$5:$K$300,$A$5:$A$300,A87)-SUMIFS($L$5:$L$300,$A$5:$A$300,A87),2)=0,"OK","UNBALANCED")</f>
        <v>OK</v>
      </c>
    </row>
    <row r="88" customFormat="false" ht="15" hidden="false" customHeight="false" outlineLevel="0" collapsed="false">
      <c r="A88" s="8" t="n">
        <v>30</v>
      </c>
      <c r="B88" s="16" t="n">
        <v>46304</v>
      </c>
      <c r="C88" s="8" t="s">
        <v>133</v>
      </c>
      <c r="D88" s="8" t="s">
        <v>110</v>
      </c>
      <c r="E88" s="8" t="n">
        <v>4200</v>
      </c>
      <c r="F88" s="17" t="str">
        <f aca="false">INDEX(COA!$B$5:$B$12,MATCH(E88,COA!$A$5:$A$12,0))</f>
        <v>FV gain/loss - token liability</v>
      </c>
      <c r="J88" s="18" t="n">
        <f aca="false">J87</f>
        <v>-600</v>
      </c>
      <c r="K88" s="18" t="n">
        <f aca="false">MAX(J88,0)</f>
        <v>0</v>
      </c>
      <c r="L88" s="18" t="n">
        <f aca="false">MAX(-J88,0)</f>
        <v>600</v>
      </c>
      <c r="M88" s="17" t="str">
        <f aca="false">IF(ROUND(SUMIFS($K$5:$K$300,$A$5:$A$300,A88)-SUMIFS($L$5:$L$300,$A$5:$A$300,A88),2)=0,"OK","UNBALANCED")</f>
        <v>OK</v>
      </c>
    </row>
    <row r="89" customFormat="false" ht="15" hidden="false" customHeight="false" outlineLevel="0" collapsed="false">
      <c r="A89" s="8" t="n">
        <v>31</v>
      </c>
      <c r="B89" s="16" t="n">
        <v>46304</v>
      </c>
      <c r="C89" s="8" t="s">
        <v>70</v>
      </c>
      <c r="D89" s="8" t="s">
        <v>134</v>
      </c>
      <c r="E89" s="8" t="n">
        <v>1000</v>
      </c>
      <c r="F89" s="17" t="str">
        <f aca="false">INDEX(COA!$B$5:$B$12,MATCH(E89,COA!$A$5:$A$12,0))</f>
        <v>Cash</v>
      </c>
      <c r="J89" s="18" t="n">
        <f aca="false">J90+J91</f>
        <v>3165.75</v>
      </c>
      <c r="K89" s="18" t="n">
        <f aca="false">J89</f>
        <v>3165.75</v>
      </c>
      <c r="L89" s="18"/>
      <c r="M89" s="17" t="str">
        <f aca="false">IF(ROUND(SUMIFS($K$5:$K$300,$A$5:$A$300,A89)-SUMIFS($L$5:$L$300,$A$5:$A$300,A89),2)=0,"OK","UNBALANCED")</f>
        <v>OK</v>
      </c>
    </row>
    <row r="90" customFormat="false" ht="15" hidden="false" customHeight="false" outlineLevel="0" collapsed="false">
      <c r="A90" s="8" t="n">
        <v>31</v>
      </c>
      <c r="B90" s="16" t="n">
        <v>46304</v>
      </c>
      <c r="C90" s="8" t="s">
        <v>70</v>
      </c>
      <c r="D90" s="8" t="s">
        <v>134</v>
      </c>
      <c r="E90" s="8" t="n">
        <v>2000</v>
      </c>
      <c r="F90" s="17" t="str">
        <f aca="false">INDEX(COA!$B$5:$B$12,MATCH(E90,COA!$A$5:$A$12,0))</f>
        <v>Token liability (FVTPL)</v>
      </c>
      <c r="G90" s="8" t="s">
        <v>30</v>
      </c>
      <c r="H90" s="19" t="n">
        <v>25</v>
      </c>
      <c r="I90" s="18" t="n">
        <f aca="false">IF(G90="","",INDEX(Assumptions!$B$9:$C$13,MATCH(B90,Assumptions!$A$9:$A$13,0),MATCH(G90,Assumptions!$B$8:$C$8,0)))</f>
        <v>126</v>
      </c>
      <c r="J90" s="18" t="n">
        <f aca="false">ROUND(ABS(H90)*I90,2)</f>
        <v>3150</v>
      </c>
      <c r="K90" s="18"/>
      <c r="L90" s="18" t="n">
        <f aca="false">J90</f>
        <v>3150</v>
      </c>
      <c r="M90" s="17" t="str">
        <f aca="false">IF(ROUND(SUMIFS($K$5:$K$300,$A$5:$A$300,A90)-SUMIFS($L$5:$L$300,$A$5:$A$300,A90),2)=0,"OK","UNBALANCED")</f>
        <v>OK</v>
      </c>
    </row>
    <row r="91" customFormat="false" ht="15" hidden="false" customHeight="false" outlineLevel="0" collapsed="false">
      <c r="A91" s="8" t="n">
        <v>31</v>
      </c>
      <c r="B91" s="16" t="n">
        <v>46304</v>
      </c>
      <c r="C91" s="8" t="s">
        <v>70</v>
      </c>
      <c r="D91" s="8" t="s">
        <v>134</v>
      </c>
      <c r="E91" s="8" t="n">
        <v>4000</v>
      </c>
      <c r="F91" s="17" t="str">
        <f aca="false">INDEX(COA!$B$5:$B$12,MATCH(E91,COA!$A$5:$A$12,0))</f>
        <v>Fee income</v>
      </c>
      <c r="J91" s="18" t="n">
        <f aca="false">ROUND(J90*Assumptions!$B$3,2)</f>
        <v>15.75</v>
      </c>
      <c r="K91" s="18"/>
      <c r="L91" s="18" t="n">
        <f aca="false">J91</f>
        <v>15.75</v>
      </c>
      <c r="M91" s="17" t="str">
        <f aca="false">IF(ROUND(SUMIFS($K$5:$K$300,$A$5:$A$300,A91)-SUMIFS($L$5:$L$300,$A$5:$A$300,A91),2)=0,"OK","UNBALANCED")</f>
        <v>OK</v>
      </c>
    </row>
    <row r="92" customFormat="false" ht="15" hidden="false" customHeight="false" outlineLevel="0" collapsed="false">
      <c r="A92" s="8" t="n">
        <v>32</v>
      </c>
      <c r="B92" s="16" t="n">
        <v>46304</v>
      </c>
      <c r="C92" s="8" t="s">
        <v>87</v>
      </c>
      <c r="D92" s="8" t="s">
        <v>135</v>
      </c>
      <c r="E92" s="8" t="n">
        <v>1100</v>
      </c>
      <c r="F92" s="17" t="str">
        <f aca="false">INDEX(COA!$B$5:$B$12,MATCH(E92,COA!$A$5:$A$12,0))</f>
        <v>Investments in underlying shares (FVTPL)</v>
      </c>
      <c r="G92" s="8" t="s">
        <v>30</v>
      </c>
      <c r="H92" s="19" t="n">
        <v>25</v>
      </c>
      <c r="I92" s="18" t="n">
        <f aca="false">IF(G92="","",INDEX(Assumptions!$B$9:$C$13,MATCH(B92,Assumptions!$A$9:$A$13,0),MATCH(G92,Assumptions!$B$8:$C$8,0)))</f>
        <v>126</v>
      </c>
      <c r="J92" s="18" t="n">
        <f aca="false">ROUND(ABS(H92)*I92,2)</f>
        <v>3150</v>
      </c>
      <c r="K92" s="18" t="n">
        <f aca="false">J92</f>
        <v>3150</v>
      </c>
      <c r="L92" s="18"/>
      <c r="M92" s="17" t="str">
        <f aca="false">IF(ROUND(SUMIFS($K$5:$K$300,$A$5:$A$300,A92)-SUMIFS($L$5:$L$300,$A$5:$A$300,A92),2)=0,"OK","UNBALANCED")</f>
        <v>OK</v>
      </c>
    </row>
    <row r="93" customFormat="false" ht="15" hidden="false" customHeight="false" outlineLevel="0" collapsed="false">
      <c r="A93" s="8" t="n">
        <v>32</v>
      </c>
      <c r="B93" s="16" t="n">
        <v>46304</v>
      </c>
      <c r="C93" s="8" t="s">
        <v>87</v>
      </c>
      <c r="D93" s="8" t="s">
        <v>135</v>
      </c>
      <c r="E93" s="8" t="n">
        <v>2100</v>
      </c>
      <c r="F93" s="17" t="str">
        <f aca="false">INDEX(COA!$B$5:$B$12,MATCH(E93,COA!$A$5:$A$12,0))</f>
        <v>Due to broker (unsettled purchases)</v>
      </c>
      <c r="J93" s="18"/>
      <c r="K93" s="18"/>
      <c r="L93" s="18" t="n">
        <f aca="false">J92</f>
        <v>3150</v>
      </c>
      <c r="M93" s="17" t="str">
        <f aca="false">IF(ROUND(SUMIFS($K$5:$K$300,$A$5:$A$300,A93)-SUMIFS($L$5:$L$300,$A$5:$A$300,A93),2)=0,"OK","UNBALANCED")</f>
        <v>OK</v>
      </c>
    </row>
    <row r="94" customFormat="false" ht="15" hidden="false" customHeight="false" outlineLevel="0" collapsed="false">
      <c r="A94" s="8" t="n">
        <v>33</v>
      </c>
      <c r="B94" s="16" t="n">
        <v>46304</v>
      </c>
      <c r="C94" s="8" t="s">
        <v>72</v>
      </c>
      <c r="D94" s="8" t="s">
        <v>136</v>
      </c>
      <c r="E94" s="8" t="n">
        <v>2000</v>
      </c>
      <c r="F94" s="17" t="str">
        <f aca="false">INDEX(COA!$B$5:$B$12,MATCH(E94,COA!$A$5:$A$12,0))</f>
        <v>Token liability (FVTPL)</v>
      </c>
      <c r="G94" s="8" t="s">
        <v>29</v>
      </c>
      <c r="H94" s="19" t="n">
        <v>-20</v>
      </c>
      <c r="I94" s="18" t="n">
        <f aca="false">IF(G94="","",INDEX(Assumptions!$B$9:$C$13,MATCH(B94,Assumptions!$A$9:$A$13,0),MATCH(G94,Assumptions!$B$8:$C$8,0)))</f>
        <v>214</v>
      </c>
      <c r="J94" s="18" t="n">
        <f aca="false">ROUND(ABS(H94)*I94,2)</f>
        <v>4280</v>
      </c>
      <c r="K94" s="18" t="n">
        <f aca="false">J94</f>
        <v>4280</v>
      </c>
      <c r="L94" s="18"/>
      <c r="M94" s="17" t="str">
        <f aca="false">IF(ROUND(SUMIFS($K$5:$K$300,$A$5:$A$300,A94)-SUMIFS($L$5:$L$300,$A$5:$A$300,A94),2)=0,"OK","UNBALANCED")</f>
        <v>OK</v>
      </c>
    </row>
    <row r="95" customFormat="false" ht="15" hidden="false" customHeight="false" outlineLevel="0" collapsed="false">
      <c r="A95" s="8" t="n">
        <v>33</v>
      </c>
      <c r="B95" s="16" t="n">
        <v>46304</v>
      </c>
      <c r="C95" s="8" t="s">
        <v>72</v>
      </c>
      <c r="D95" s="8" t="s">
        <v>136</v>
      </c>
      <c r="E95" s="8" t="n">
        <v>1000</v>
      </c>
      <c r="F95" s="17" t="str">
        <f aca="false">INDEX(COA!$B$5:$B$12,MATCH(E95,COA!$A$5:$A$12,0))</f>
        <v>Cash</v>
      </c>
      <c r="J95" s="18" t="n">
        <f aca="false">J94-J96</f>
        <v>4258.6</v>
      </c>
      <c r="K95" s="18"/>
      <c r="L95" s="18" t="n">
        <f aca="false">J95</f>
        <v>4258.6</v>
      </c>
      <c r="M95" s="17" t="str">
        <f aca="false">IF(ROUND(SUMIFS($K$5:$K$300,$A$5:$A$300,A95)-SUMIFS($L$5:$L$300,$A$5:$A$300,A95),2)=0,"OK","UNBALANCED")</f>
        <v>OK</v>
      </c>
    </row>
    <row r="96" customFormat="false" ht="15" hidden="false" customHeight="false" outlineLevel="0" collapsed="false">
      <c r="A96" s="8" t="n">
        <v>33</v>
      </c>
      <c r="B96" s="16" t="n">
        <v>46304</v>
      </c>
      <c r="C96" s="8" t="s">
        <v>72</v>
      </c>
      <c r="D96" s="8" t="s">
        <v>136</v>
      </c>
      <c r="E96" s="8" t="n">
        <v>4000</v>
      </c>
      <c r="F96" s="17" t="str">
        <f aca="false">INDEX(COA!$B$5:$B$12,MATCH(E96,COA!$A$5:$A$12,0))</f>
        <v>Fee income</v>
      </c>
      <c r="J96" s="18" t="n">
        <f aca="false">ROUND(J94*Assumptions!$B$3,2)</f>
        <v>21.4</v>
      </c>
      <c r="K96" s="18"/>
      <c r="L96" s="18" t="n">
        <f aca="false">J96</f>
        <v>21.4</v>
      </c>
      <c r="M96" s="17" t="str">
        <f aca="false">IF(ROUND(SUMIFS($K$5:$K$300,$A$5:$A$300,A96)-SUMIFS($L$5:$L$300,$A$5:$A$300,A96),2)=0,"OK","UNBALANCED")</f>
        <v>OK</v>
      </c>
    </row>
    <row r="97" customFormat="false" ht="15" hidden="false" customHeight="false" outlineLevel="0" collapsed="false">
      <c r="A97" s="8" t="n">
        <v>34</v>
      </c>
      <c r="B97" s="16" t="n">
        <v>46304</v>
      </c>
      <c r="C97" s="8" t="s">
        <v>88</v>
      </c>
      <c r="D97" s="8" t="s">
        <v>137</v>
      </c>
      <c r="E97" s="8" t="n">
        <v>1200</v>
      </c>
      <c r="F97" s="17" t="str">
        <f aca="false">INDEX(COA!$B$5:$B$12,MATCH(E97,COA!$A$5:$A$12,0))</f>
        <v>Due from broker (unsettled sales)</v>
      </c>
      <c r="J97" s="18"/>
      <c r="K97" s="18" t="n">
        <f aca="false">J98</f>
        <v>4280</v>
      </c>
      <c r="L97" s="18"/>
      <c r="M97" s="17" t="str">
        <f aca="false">IF(ROUND(SUMIFS($K$5:$K$300,$A$5:$A$300,A97)-SUMIFS($L$5:$L$300,$A$5:$A$300,A97),2)=0,"OK","UNBALANCED")</f>
        <v>OK</v>
      </c>
    </row>
    <row r="98" customFormat="false" ht="15" hidden="false" customHeight="false" outlineLevel="0" collapsed="false">
      <c r="A98" s="8" t="n">
        <v>34</v>
      </c>
      <c r="B98" s="16" t="n">
        <v>46304</v>
      </c>
      <c r="C98" s="8" t="s">
        <v>88</v>
      </c>
      <c r="D98" s="8" t="s">
        <v>137</v>
      </c>
      <c r="E98" s="8" t="n">
        <v>1100</v>
      </c>
      <c r="F98" s="17" t="str">
        <f aca="false">INDEX(COA!$B$5:$B$12,MATCH(E98,COA!$A$5:$A$12,0))</f>
        <v>Investments in underlying shares (FVTPL)</v>
      </c>
      <c r="G98" s="8" t="s">
        <v>29</v>
      </c>
      <c r="H98" s="19" t="n">
        <v>-20</v>
      </c>
      <c r="I98" s="18" t="n">
        <f aca="false">IF(G98="","",INDEX(Assumptions!$B$9:$C$13,MATCH(B98,Assumptions!$A$9:$A$13,0),MATCH(G98,Assumptions!$B$8:$C$8,0)))</f>
        <v>214</v>
      </c>
      <c r="J98" s="18" t="n">
        <f aca="false">ROUND(ABS(H98)*I98,2)</f>
        <v>4280</v>
      </c>
      <c r="K98" s="18"/>
      <c r="L98" s="18" t="n">
        <f aca="false">J98</f>
        <v>4280</v>
      </c>
      <c r="M98" s="17" t="str">
        <f aca="false">IF(ROUND(SUMIFS($K$5:$K$300,$A$5:$A$300,A98)-SUMIFS($L$5:$L$300,$A$5:$A$300,A98),2)=0,"OK","UNBALANCED")</f>
        <v>OK</v>
      </c>
    </row>
  </sheetData>
  <autoFilter ref="A4:M98"/>
  <conditionalFormatting sqref="M5:M300">
    <cfRule type="expression" priority="2" aboveAverage="0" equalAverage="0" bottom="0" percent="0" rank="0" text="" dxfId="5">
      <formula>M5="UNBALANCED"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138</v>
      </c>
    </row>
    <row r="4" customFormat="false" ht="31.5" hidden="false" customHeight="true" outlineLevel="0" collapsed="false">
      <c r="A4" s="9" t="s">
        <v>94</v>
      </c>
      <c r="B4" s="9" t="s">
        <v>139</v>
      </c>
      <c r="C4" s="9" t="s">
        <v>140</v>
      </c>
      <c r="D4" s="9" t="s">
        <v>141</v>
      </c>
      <c r="E4" s="9" t="s">
        <v>142</v>
      </c>
      <c r="F4" s="9" t="s">
        <v>143</v>
      </c>
    </row>
    <row r="5" customFormat="false" ht="15" hidden="false" customHeight="false" outlineLevel="0" collapsed="false">
      <c r="A5" s="15" t="n">
        <f aca="false">COA!A5</f>
        <v>1000</v>
      </c>
      <c r="B5" s="15" t="str">
        <f aca="false">COA!B5</f>
        <v>Cash</v>
      </c>
      <c r="C5" s="20" t="n">
        <f aca="false">SUMIFS(Journal!$K$5:$K$300,Journal!$E$5:$E$300,A5)</f>
        <v>148021.75</v>
      </c>
      <c r="D5" s="20" t="n">
        <f aca="false">SUMIFS(Journal!$L$5:$L$300,Journal!$E$5:$E$300,A5)</f>
        <v>148393.45</v>
      </c>
      <c r="E5" s="20" t="n">
        <f aca="false">MAX(C5-D5,0)</f>
        <v>0</v>
      </c>
      <c r="F5" s="20" t="n">
        <f aca="false">MAX(D5-C5,0)</f>
        <v>371.700000000012</v>
      </c>
    </row>
    <row r="6" customFormat="false" ht="15" hidden="false" customHeight="false" outlineLevel="0" collapsed="false">
      <c r="A6" s="15" t="n">
        <f aca="false">COA!A6</f>
        <v>1100</v>
      </c>
      <c r="B6" s="15" t="str">
        <f aca="false">COA!B6</f>
        <v>Investments in underlying shares (FVTPL)</v>
      </c>
      <c r="C6" s="20" t="n">
        <f aca="false">SUMIFS(Journal!$K$5:$K$300,Journal!$E$5:$E$300,A6)</f>
        <v>133930</v>
      </c>
      <c r="D6" s="20" t="n">
        <f aca="false">SUMIFS(Journal!$L$5:$L$300,Journal!$E$5:$E$300,A6)</f>
        <v>25220</v>
      </c>
      <c r="E6" s="20" t="n">
        <f aca="false">MAX(C6-D6,0)</f>
        <v>108710</v>
      </c>
      <c r="F6" s="20" t="n">
        <f aca="false">MAX(D6-C6,0)</f>
        <v>0</v>
      </c>
    </row>
    <row r="7" customFormat="false" ht="15" hidden="false" customHeight="false" outlineLevel="0" collapsed="false">
      <c r="A7" s="15" t="n">
        <f aca="false">COA!A7</f>
        <v>1200</v>
      </c>
      <c r="B7" s="15" t="str">
        <f aca="false">COA!B7</f>
        <v>Due from broker (unsettled sales)</v>
      </c>
      <c r="C7" s="20" t="n">
        <f aca="false">SUMIFS(Journal!$K$5:$K$300,Journal!$E$5:$E$300,A7)</f>
        <v>23310</v>
      </c>
      <c r="D7" s="20" t="n">
        <f aca="false">SUMIFS(Journal!$L$5:$L$300,Journal!$E$5:$E$300,A7)</f>
        <v>19030</v>
      </c>
      <c r="E7" s="20" t="n">
        <f aca="false">MAX(C7-D7,0)</f>
        <v>4280</v>
      </c>
      <c r="F7" s="20" t="n">
        <f aca="false">MAX(D7-C7,0)</f>
        <v>0</v>
      </c>
    </row>
    <row r="8" customFormat="false" ht="15" hidden="false" customHeight="false" outlineLevel="0" collapsed="false">
      <c r="A8" s="15" t="n">
        <f aca="false">COA!A8</f>
        <v>2000</v>
      </c>
      <c r="B8" s="15" t="str">
        <f aca="false">COA!B8</f>
        <v>Token liability (FVTPL)</v>
      </c>
      <c r="C8" s="20" t="n">
        <f aca="false">SUMIFS(Journal!$K$5:$K$300,Journal!$E$5:$E$300,A8)</f>
        <v>25220</v>
      </c>
      <c r="D8" s="20" t="n">
        <f aca="false">SUMIFS(Journal!$L$5:$L$300,Journal!$E$5:$E$300,A8)</f>
        <v>133930</v>
      </c>
      <c r="E8" s="20" t="n">
        <f aca="false">MAX(C8-D8,0)</f>
        <v>0</v>
      </c>
      <c r="F8" s="20" t="n">
        <f aca="false">MAX(D8-C8,0)</f>
        <v>108710</v>
      </c>
    </row>
    <row r="9" customFormat="false" ht="15" hidden="false" customHeight="false" outlineLevel="0" collapsed="false">
      <c r="A9" s="15" t="n">
        <f aca="false">COA!A9</f>
        <v>2100</v>
      </c>
      <c r="B9" s="15" t="str">
        <f aca="false">COA!B9</f>
        <v>Due to broker (unsettled purchases)</v>
      </c>
      <c r="C9" s="20" t="n">
        <f aca="false">SUMIFS(Journal!$K$5:$K$300,Journal!$E$5:$E$300,A9)</f>
        <v>125200</v>
      </c>
      <c r="D9" s="20" t="n">
        <f aca="false">SUMIFS(Journal!$L$5:$L$300,Journal!$E$5:$E$300,A9)</f>
        <v>128350</v>
      </c>
      <c r="E9" s="20" t="n">
        <f aca="false">MAX(C9-D9,0)</f>
        <v>0</v>
      </c>
      <c r="F9" s="20" t="n">
        <f aca="false">MAX(D9-C9,0)</f>
        <v>3150</v>
      </c>
    </row>
    <row r="10" customFormat="false" ht="15" hidden="false" customHeight="false" outlineLevel="0" collapsed="false">
      <c r="A10" s="15" t="n">
        <f aca="false">COA!A10</f>
        <v>4000</v>
      </c>
      <c r="B10" s="15" t="str">
        <f aca="false">COA!B10</f>
        <v>Fee income</v>
      </c>
      <c r="C10" s="20" t="n">
        <f aca="false">SUMIFS(Journal!$K$5:$K$300,Journal!$E$5:$E$300,A10)</f>
        <v>0</v>
      </c>
      <c r="D10" s="20" t="n">
        <f aca="false">SUMIFS(Journal!$L$5:$L$300,Journal!$E$5:$E$300,A10)</f>
        <v>758.3</v>
      </c>
      <c r="E10" s="20" t="n">
        <f aca="false">MAX(C10-D10,0)</f>
        <v>0</v>
      </c>
      <c r="F10" s="20" t="n">
        <f aca="false">MAX(D10-C10,0)</f>
        <v>758.3</v>
      </c>
    </row>
    <row r="11" customFormat="false" ht="15" hidden="false" customHeight="false" outlineLevel="0" collapsed="false">
      <c r="A11" s="15" t="n">
        <f aca="false">COA!A11</f>
        <v>4100</v>
      </c>
      <c r="B11" s="15" t="str">
        <f aca="false">COA!B11</f>
        <v>FV gain/loss - underlying investments</v>
      </c>
      <c r="C11" s="20" t="n">
        <f aca="false">SUMIFS(Journal!$K$5:$K$300,Journal!$E$5:$E$300,A11)</f>
        <v>1910</v>
      </c>
      <c r="D11" s="20" t="n">
        <f aca="false">SUMIFS(Journal!$L$5:$L$300,Journal!$E$5:$E$300,A11)</f>
        <v>5580</v>
      </c>
      <c r="E11" s="20" t="n">
        <f aca="false">MAX(C11-D11,0)</f>
        <v>0</v>
      </c>
      <c r="F11" s="20" t="n">
        <f aca="false">MAX(D11-C11,0)</f>
        <v>3670</v>
      </c>
    </row>
    <row r="12" customFormat="false" ht="15" hidden="false" customHeight="false" outlineLevel="0" collapsed="false">
      <c r="A12" s="15" t="n">
        <f aca="false">COA!A12</f>
        <v>4200</v>
      </c>
      <c r="B12" s="15" t="str">
        <f aca="false">COA!B12</f>
        <v>FV gain/loss - token liability</v>
      </c>
      <c r="C12" s="20" t="n">
        <f aca="false">SUMIFS(Journal!$K$5:$K$300,Journal!$E$5:$E$300,A12)</f>
        <v>5580</v>
      </c>
      <c r="D12" s="20" t="n">
        <f aca="false">SUMIFS(Journal!$L$5:$L$300,Journal!$E$5:$E$300,A12)</f>
        <v>1910</v>
      </c>
      <c r="E12" s="20" t="n">
        <f aca="false">MAX(C12-D12,0)</f>
        <v>3670</v>
      </c>
      <c r="F12" s="20" t="n">
        <f aca="false">MAX(D12-C12,0)</f>
        <v>0</v>
      </c>
    </row>
    <row r="13" customFormat="false" ht="15" hidden="false" customHeight="false" outlineLevel="0" collapsed="false">
      <c r="B13" s="21" t="s">
        <v>144</v>
      </c>
      <c r="C13" s="22" t="n">
        <f aca="false">SUM(C5:C12)</f>
        <v>463171.75</v>
      </c>
      <c r="D13" s="22" t="n">
        <f aca="false">SUM(D5:D12)</f>
        <v>463171.75</v>
      </c>
      <c r="E13" s="22" t="n">
        <f aca="false">SUM(E5:E12)</f>
        <v>116660</v>
      </c>
      <c r="F13" s="22" t="n">
        <f aca="false">SUM(F5:F12)</f>
        <v>116660</v>
      </c>
    </row>
    <row r="15" customFormat="false" ht="15" hidden="false" customHeight="false" outlineLevel="0" collapsed="false">
      <c r="A15" s="5" t="s">
        <v>145</v>
      </c>
      <c r="E15" s="23" t="n">
        <f aca="false">ROUND(E13-F13,2)</f>
        <v>0</v>
      </c>
      <c r="F15" s="5" t="str">
        <f aca="false">IF(E15=0,"OK","OUT OF BALANCE")</f>
        <v>OK</v>
      </c>
    </row>
    <row r="16" customFormat="false" ht="15" hidden="false" customHeight="false" outlineLevel="0" collapsed="false">
      <c r="A16" s="5" t="s">
        <v>146</v>
      </c>
      <c r="E16" s="5" t="n">
        <f aca="false">COUNTIF(Journal!$M$5:$M$300,"UNBALANCED")</f>
        <v>0</v>
      </c>
      <c r="F16" s="5" t="str">
        <f aca="false">IF(E16=0,"OK","INVESTIGATE")</f>
        <v>OK</v>
      </c>
    </row>
    <row r="17" customFormat="false" ht="15" hidden="false" customHeight="false" outlineLevel="0" collapsed="false">
      <c r="A17" s="5" t="s">
        <v>147</v>
      </c>
      <c r="E17" s="23" t="n">
        <f aca="false">(D11-C11)-(C12-D12)</f>
        <v>0</v>
      </c>
      <c r="F17" s="5" t="str">
        <f aca="false">IF(E17=0,"OK","BOOKS DO NOT MATCH")</f>
        <v>OK</v>
      </c>
    </row>
    <row r="18" customFormat="false" ht="15" hidden="false" customHeight="false" outlineLevel="0" collapsed="false">
      <c r="A18" s="2" t="s">
        <v>148</v>
      </c>
    </row>
  </sheetData>
  <conditionalFormatting sqref="F15:F17">
    <cfRule type="expression" priority="2" aboveAverage="0" equalAverage="0" bottom="0" percent="0" rank="0" text="" dxfId="6">
      <formula>F15="OK"</formula>
    </cfRule>
    <cfRule type="expression" priority="3" aboveAverage="0" equalAverage="0" bottom="0" percent="0" rank="0" text="" dxfId="7">
      <formula>ISNUMBER(SEARCH("PENDING",F15))</formula>
    </cfRule>
    <cfRule type="expression" priority="4" aboveAverage="0" equalAverage="0" bottom="0" percent="0" rank="0" text="" dxfId="5">
      <formula>F15&lt;&gt;""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5" t="s">
        <v>150</v>
      </c>
      <c r="B2" s="24" t="n">
        <f aca="false">Assumptions!$B$4</f>
        <v>46304</v>
      </c>
    </row>
    <row r="4" customFormat="false" ht="57.75" hidden="false" customHeight="true" outlineLevel="0" collapsed="false">
      <c r="A4" s="9" t="s">
        <v>52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  <c r="G4" s="9" t="s">
        <v>156</v>
      </c>
      <c r="H4" s="9" t="s">
        <v>157</v>
      </c>
      <c r="I4" s="9" t="s">
        <v>158</v>
      </c>
      <c r="J4" s="9" t="s">
        <v>159</v>
      </c>
      <c r="K4" s="9" t="s">
        <v>160</v>
      </c>
      <c r="L4" s="9" t="s">
        <v>161</v>
      </c>
    </row>
    <row r="5" customFormat="false" ht="15" hidden="false" customHeight="false" outlineLevel="0" collapsed="false">
      <c r="A5" s="12" t="s">
        <v>29</v>
      </c>
      <c r="B5" s="14" t="n">
        <f aca="false">SUMIFS(OnChain!$G$5:$G$100,OnChain!$D$5:$D$100,A5)</f>
        <v>140</v>
      </c>
      <c r="C5" s="14" t="n">
        <f aca="false">SUMIFS(Journal!$H$5:$H$300,Journal!$E$5:$E$300,2000,Journal!$G$5:$G$300,A5)</f>
        <v>140</v>
      </c>
      <c r="D5" s="14" t="n">
        <f aca="false">SUMIFS(Journal!$H$5:$H$300,Journal!$E$5:$E$300,1100,Journal!$G$5:$G$300,A5)</f>
        <v>140</v>
      </c>
      <c r="E5" s="14" t="n">
        <f aca="false">SUMIFS(Custodian!$C$5:$C$100,Custodian!$B$5:$B$100,A5,Custodian!$E$5:$E$100,"&lt;="&amp;Assumptions!$B$4)</f>
        <v>160</v>
      </c>
      <c r="F5" s="14" t="n">
        <f aca="false">G5-E5</f>
        <v>-20</v>
      </c>
      <c r="G5" s="14" t="n">
        <f aca="false">SUMIFS(Custodian!$C$5:$C$100,Custodian!$B$5:$B$100,A5)</f>
        <v>140</v>
      </c>
      <c r="H5" s="14" t="n">
        <f aca="false">B5-C5</f>
        <v>0</v>
      </c>
      <c r="I5" s="14" t="n">
        <f aca="false">D5-G5</f>
        <v>0</v>
      </c>
      <c r="J5" s="14" t="n">
        <f aca="false">B5-G5</f>
        <v>0</v>
      </c>
      <c r="K5" s="14" t="n">
        <f aca="false">C5-D5</f>
        <v>0</v>
      </c>
      <c r="L5" s="21" t="str">
        <f aca="false">IF(AND(H5=0,I5=0,J5=0,K5=0),"OK","BREAK")</f>
        <v>OK</v>
      </c>
    </row>
    <row r="6" customFormat="false" ht="15" hidden="false" customHeight="false" outlineLevel="0" collapsed="false">
      <c r="A6" s="12" t="s">
        <v>30</v>
      </c>
      <c r="B6" s="14" t="n">
        <f aca="false">SUMIFS(OnChain!$G$5:$G$100,OnChain!$D$5:$D$100,A6)</f>
        <v>625</v>
      </c>
      <c r="C6" s="14" t="n">
        <f aca="false">SUMIFS(Journal!$H$5:$H$300,Journal!$E$5:$E$300,2000,Journal!$G$5:$G$300,A6)</f>
        <v>625</v>
      </c>
      <c r="D6" s="14" t="n">
        <f aca="false">SUMIFS(Journal!$H$5:$H$300,Journal!$E$5:$E$300,1100,Journal!$G$5:$G$300,A6)</f>
        <v>625</v>
      </c>
      <c r="E6" s="14" t="n">
        <f aca="false">SUMIFS(Custodian!$C$5:$C$100,Custodian!$B$5:$B$100,A6,Custodian!$E$5:$E$100,"&lt;="&amp;Assumptions!$B$4)</f>
        <v>600</v>
      </c>
      <c r="F6" s="14" t="n">
        <f aca="false">G6-E6</f>
        <v>25</v>
      </c>
      <c r="G6" s="14" t="n">
        <f aca="false">SUMIFS(Custodian!$C$5:$C$100,Custodian!$B$5:$B$100,A6)</f>
        <v>625</v>
      </c>
      <c r="H6" s="14" t="n">
        <f aca="false">B6-C6</f>
        <v>0</v>
      </c>
      <c r="I6" s="14" t="n">
        <f aca="false">D6-G6</f>
        <v>0</v>
      </c>
      <c r="J6" s="14" t="n">
        <f aca="false">B6-G6</f>
        <v>0</v>
      </c>
      <c r="K6" s="14" t="n">
        <f aca="false">C6-D6</f>
        <v>0</v>
      </c>
      <c r="L6" s="21" t="str">
        <f aca="false">IF(AND(H6=0,I6=0,J6=0,K6=0),"OK","BREAK")</f>
        <v>OK</v>
      </c>
    </row>
    <row r="9" customFormat="false" ht="15" hidden="false" customHeight="false" outlineLevel="0" collapsed="false">
      <c r="A9" s="5" t="s">
        <v>162</v>
      </c>
    </row>
    <row r="10" customFormat="false" ht="15" hidden="false" customHeight="false" outlineLevel="0" collapsed="false">
      <c r="A10" s="17" t="s">
        <v>163</v>
      </c>
    </row>
    <row r="11" customFormat="false" ht="15" hidden="false" customHeight="false" outlineLevel="0" collapsed="false">
      <c r="A11" s="17" t="s">
        <v>164</v>
      </c>
    </row>
    <row r="12" customFormat="false" ht="15" hidden="false" customHeight="false" outlineLevel="0" collapsed="false">
      <c r="A12" s="17" t="s">
        <v>165</v>
      </c>
    </row>
    <row r="13" customFormat="false" ht="15" hidden="false" customHeight="false" outlineLevel="0" collapsed="false">
      <c r="A13" s="17" t="s">
        <v>166</v>
      </c>
    </row>
    <row r="14" customFormat="false" ht="15" hidden="false" customHeight="false" outlineLevel="0" collapsed="false">
      <c r="A14" s="17" t="s">
        <v>167</v>
      </c>
    </row>
    <row r="15" customFormat="false" ht="15" hidden="false" customHeight="false" outlineLevel="0" collapsed="false">
      <c r="A15" s="17" t="s">
        <v>168</v>
      </c>
    </row>
  </sheetData>
  <conditionalFormatting sqref="H5:K6">
    <cfRule type="expression" priority="2" aboveAverage="0" equalAverage="0" bottom="0" percent="0" rank="0" text="" dxfId="5">
      <formula>H5&lt;&gt;0</formula>
    </cfRule>
  </conditionalFormatting>
  <conditionalFormatting sqref="L5:L6">
    <cfRule type="expression" priority="3" aboveAverage="0" equalAverage="0" bottom="0" percent="0" rank="0" text="" dxfId="6">
      <formula>L5="OK"</formula>
    </cfRule>
    <cfRule type="expression" priority="4" aboveAverage="0" equalAverage="0" bottom="0" percent="0" rank="0" text="" dxfId="5">
      <formula>L5&lt;&gt;""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25" t="s">
        <v>170</v>
      </c>
    </row>
    <row r="4" customFormat="false" ht="31.5" hidden="false" customHeight="true" outlineLevel="0" collapsed="false">
      <c r="A4" s="9" t="s">
        <v>50</v>
      </c>
      <c r="B4" s="9" t="s">
        <v>51</v>
      </c>
      <c r="C4" s="9" t="s">
        <v>52</v>
      </c>
      <c r="D4" s="9" t="s">
        <v>171</v>
      </c>
      <c r="E4" s="9" t="s">
        <v>172</v>
      </c>
      <c r="F4" s="9" t="s">
        <v>173</v>
      </c>
      <c r="G4" s="9" t="s">
        <v>174</v>
      </c>
      <c r="H4" s="9" t="s">
        <v>175</v>
      </c>
    </row>
    <row r="5" customFormat="false" ht="15" hidden="false" customHeight="false" outlineLevel="0" collapsed="false">
      <c r="A5" s="15" t="str">
        <f aca="false">OnChain!A5</f>
        <v>0xT01</v>
      </c>
      <c r="B5" s="15" t="str">
        <f aca="false">OnChain!C5</f>
        <v>MINT</v>
      </c>
      <c r="C5" s="15" t="str">
        <f aca="false">OnChain!D5</f>
        <v>AAPL</v>
      </c>
      <c r="D5" s="14" t="n">
        <f aca="false">OnChain!E5</f>
        <v>100</v>
      </c>
      <c r="E5" s="14" t="n">
        <f aca="false">COUNTIFS(Journal!$C$5:$C$300,A5,Journal!$E$5:$E$300,2000)</f>
        <v>1</v>
      </c>
      <c r="F5" s="14" t="n">
        <f aca="false">ABS(SUMIFS(Journal!$H$5:$H$300,Journal!$C$5:$C$300,A5,Journal!$E$5:$E$300,2000))</f>
        <v>100</v>
      </c>
      <c r="G5" s="14" t="n">
        <f aca="false">D5-F5</f>
        <v>0</v>
      </c>
      <c r="H5" s="15" t="str">
        <f aca="false">IF(E5=0,"MISSING IN LEDGER (completeness)",IF(G5&lt;&gt;0,"QTY MISMATCH (accuracy)","OK"))</f>
        <v>OK</v>
      </c>
    </row>
    <row r="6" customFormat="false" ht="15" hidden="false" customHeight="false" outlineLevel="0" collapsed="false">
      <c r="A6" s="15" t="str">
        <f aca="false">OnChain!A6</f>
        <v>0xT02</v>
      </c>
      <c r="B6" s="15" t="str">
        <f aca="false">OnChain!C6</f>
        <v>MINT</v>
      </c>
      <c r="C6" s="15" t="str">
        <f aca="false">OnChain!D6</f>
        <v>NVDA</v>
      </c>
      <c r="D6" s="14" t="n">
        <f aca="false">OnChain!E6</f>
        <v>500</v>
      </c>
      <c r="E6" s="14" t="n">
        <f aca="false">COUNTIFS(Journal!$C$5:$C$300,A6,Journal!$E$5:$E$300,2000)</f>
        <v>1</v>
      </c>
      <c r="F6" s="14" t="n">
        <f aca="false">ABS(SUMIFS(Journal!$H$5:$H$300,Journal!$C$5:$C$300,A6,Journal!$E$5:$E$300,2000))</f>
        <v>500</v>
      </c>
      <c r="G6" s="14" t="n">
        <f aca="false">D6-F6</f>
        <v>0</v>
      </c>
      <c r="H6" s="15" t="str">
        <f aca="false">IF(E6=0,"MISSING IN LEDGER (completeness)",IF(G6&lt;&gt;0,"QTY MISMATCH (accuracy)","OK"))</f>
        <v>OK</v>
      </c>
    </row>
    <row r="7" customFormat="false" ht="15" hidden="false" customHeight="false" outlineLevel="0" collapsed="false">
      <c r="A7" s="15" t="str">
        <f aca="false">OnChain!A7</f>
        <v>0xT03</v>
      </c>
      <c r="B7" s="15" t="str">
        <f aca="false">OnChain!C7</f>
        <v>MINT</v>
      </c>
      <c r="C7" s="15" t="str">
        <f aca="false">OnChain!D7</f>
        <v>AAPL</v>
      </c>
      <c r="D7" s="14" t="n">
        <f aca="false">OnChain!E7</f>
        <v>50</v>
      </c>
      <c r="E7" s="14" t="n">
        <f aca="false">COUNTIFS(Journal!$C$5:$C$300,A7,Journal!$E$5:$E$300,2000)</f>
        <v>1</v>
      </c>
      <c r="F7" s="14" t="n">
        <f aca="false">ABS(SUMIFS(Journal!$H$5:$H$300,Journal!$C$5:$C$300,A7,Journal!$E$5:$E$300,2000))</f>
        <v>50</v>
      </c>
      <c r="G7" s="14" t="n">
        <f aca="false">D7-F7</f>
        <v>0</v>
      </c>
      <c r="H7" s="15" t="str">
        <f aca="false">IF(E7=0,"MISSING IN LEDGER (completeness)",IF(G7&lt;&gt;0,"QTY MISMATCH (accuracy)","OK"))</f>
        <v>OK</v>
      </c>
    </row>
    <row r="8" customFormat="false" ht="15" hidden="false" customHeight="false" outlineLevel="0" collapsed="false">
      <c r="A8" s="15" t="str">
        <f aca="false">OnChain!A8</f>
        <v>0xT04</v>
      </c>
      <c r="B8" s="15" t="str">
        <f aca="false">OnChain!C8</f>
        <v>BURN</v>
      </c>
      <c r="C8" s="15" t="str">
        <f aca="false">OnChain!D8</f>
        <v>AAPL</v>
      </c>
      <c r="D8" s="14" t="n">
        <f aca="false">OnChain!E8</f>
        <v>30</v>
      </c>
      <c r="E8" s="14" t="n">
        <f aca="false">COUNTIFS(Journal!$C$5:$C$300,A8,Journal!$E$5:$E$300,2000)</f>
        <v>1</v>
      </c>
      <c r="F8" s="14" t="n">
        <f aca="false">ABS(SUMIFS(Journal!$H$5:$H$300,Journal!$C$5:$C$300,A8,Journal!$E$5:$E$300,2000))</f>
        <v>30</v>
      </c>
      <c r="G8" s="14" t="n">
        <f aca="false">D8-F8</f>
        <v>0</v>
      </c>
      <c r="H8" s="15" t="str">
        <f aca="false">IF(E8=0,"MISSING IN LEDGER (completeness)",IF(G8&lt;&gt;0,"QTY MISMATCH (accuracy)","OK"))</f>
        <v>OK</v>
      </c>
    </row>
    <row r="9" customFormat="false" ht="15" hidden="false" customHeight="false" outlineLevel="0" collapsed="false">
      <c r="A9" s="15" t="str">
        <f aca="false">OnChain!A9</f>
        <v>0xT05</v>
      </c>
      <c r="B9" s="15" t="str">
        <f aca="false">OnChain!C9</f>
        <v>MINT</v>
      </c>
      <c r="C9" s="15" t="str">
        <f aca="false">OnChain!D9</f>
        <v>NVDA</v>
      </c>
      <c r="D9" s="14" t="n">
        <f aca="false">OnChain!E9</f>
        <v>200</v>
      </c>
      <c r="E9" s="14" t="n">
        <f aca="false">COUNTIFS(Journal!$C$5:$C$300,A9,Journal!$E$5:$E$300,2000)</f>
        <v>1</v>
      </c>
      <c r="F9" s="14" t="n">
        <f aca="false">ABS(SUMIFS(Journal!$H$5:$H$300,Journal!$C$5:$C$300,A9,Journal!$E$5:$E$300,2000))</f>
        <v>200</v>
      </c>
      <c r="G9" s="14" t="n">
        <f aca="false">D9-F9</f>
        <v>0</v>
      </c>
      <c r="H9" s="15" t="str">
        <f aca="false">IF(E9=0,"MISSING IN LEDGER (completeness)",IF(G9&lt;&gt;0,"QTY MISMATCH (accuracy)","OK"))</f>
        <v>OK</v>
      </c>
    </row>
    <row r="10" customFormat="false" ht="15" hidden="false" customHeight="false" outlineLevel="0" collapsed="false">
      <c r="A10" s="15" t="str">
        <f aca="false">OnChain!A10</f>
        <v>0xT06</v>
      </c>
      <c r="B10" s="15" t="str">
        <f aca="false">OnChain!C10</f>
        <v>BURN</v>
      </c>
      <c r="C10" s="15" t="str">
        <f aca="false">OnChain!D10</f>
        <v>NVDA</v>
      </c>
      <c r="D10" s="14" t="n">
        <f aca="false">OnChain!E10</f>
        <v>100</v>
      </c>
      <c r="E10" s="14" t="n">
        <f aca="false">COUNTIFS(Journal!$C$5:$C$300,A10,Journal!$E$5:$E$300,2000)</f>
        <v>2</v>
      </c>
      <c r="F10" s="14" t="n">
        <f aca="false">ABS(SUMIFS(Journal!$H$5:$H$300,Journal!$C$5:$C$300,A10,Journal!$E$5:$E$300,2000))</f>
        <v>100</v>
      </c>
      <c r="G10" s="14" t="n">
        <f aca="false">D10-F10</f>
        <v>0</v>
      </c>
      <c r="H10" s="15" t="str">
        <f aca="false">IF(E10=0,"MISSING IN LEDGER (completeness)",IF(G10&lt;&gt;0,"QTY MISMATCH (accuracy)","OK"))</f>
        <v>OK</v>
      </c>
    </row>
    <row r="11" customFormat="false" ht="15" hidden="false" customHeight="false" outlineLevel="0" collapsed="false">
      <c r="A11" s="15" t="str">
        <f aca="false">OnChain!A11</f>
        <v>0xT07</v>
      </c>
      <c r="B11" s="15" t="str">
        <f aca="false">OnChain!C11</f>
        <v>MINT</v>
      </c>
      <c r="C11" s="15" t="str">
        <f aca="false">OnChain!D11</f>
        <v>AAPL</v>
      </c>
      <c r="D11" s="14" t="n">
        <f aca="false">OnChain!E11</f>
        <v>40</v>
      </c>
      <c r="E11" s="14" t="n">
        <f aca="false">COUNTIFS(Journal!$C$5:$C$300,A11,Journal!$E$5:$E$300,2000)</f>
        <v>1</v>
      </c>
      <c r="F11" s="14" t="n">
        <f aca="false">ABS(SUMIFS(Journal!$H$5:$H$300,Journal!$C$5:$C$300,A11,Journal!$E$5:$E$300,2000))</f>
        <v>40</v>
      </c>
      <c r="G11" s="14" t="n">
        <f aca="false">D11-F11</f>
        <v>0</v>
      </c>
      <c r="H11" s="15" t="str">
        <f aca="false">IF(E11=0,"MISSING IN LEDGER (completeness)",IF(G11&lt;&gt;0,"QTY MISMATCH (accuracy)","OK"))</f>
        <v>OK</v>
      </c>
    </row>
    <row r="12" customFormat="false" ht="15" hidden="false" customHeight="false" outlineLevel="0" collapsed="false">
      <c r="A12" s="15" t="str">
        <f aca="false">OnChain!A12</f>
        <v>0xT08</v>
      </c>
      <c r="B12" s="15" t="str">
        <f aca="false">OnChain!C12</f>
        <v>MINT</v>
      </c>
      <c r="C12" s="15" t="str">
        <f aca="false">OnChain!D12</f>
        <v>NVDA</v>
      </c>
      <c r="D12" s="14" t="n">
        <f aca="false">OnChain!E12</f>
        <v>25</v>
      </c>
      <c r="E12" s="14" t="n">
        <f aca="false">COUNTIFS(Journal!$C$5:$C$300,A12,Journal!$E$5:$E$300,2000)</f>
        <v>1</v>
      </c>
      <c r="F12" s="14" t="n">
        <f aca="false">ABS(SUMIFS(Journal!$H$5:$H$300,Journal!$C$5:$C$300,A12,Journal!$E$5:$E$300,2000))</f>
        <v>25</v>
      </c>
      <c r="G12" s="14" t="n">
        <f aca="false">D12-F12</f>
        <v>0</v>
      </c>
      <c r="H12" s="15" t="str">
        <f aca="false">IF(E12=0,"MISSING IN LEDGER (completeness)",IF(G12&lt;&gt;0,"QTY MISMATCH (accuracy)","OK"))</f>
        <v>OK</v>
      </c>
    </row>
    <row r="13" customFormat="false" ht="15" hidden="false" customHeight="false" outlineLevel="0" collapsed="false">
      <c r="A13" s="15" t="str">
        <f aca="false">OnChain!A13</f>
        <v>0xT09</v>
      </c>
      <c r="B13" s="15" t="str">
        <f aca="false">OnChain!C13</f>
        <v>BURN</v>
      </c>
      <c r="C13" s="15" t="str">
        <f aca="false">OnChain!D13</f>
        <v>AAPL</v>
      </c>
      <c r="D13" s="14" t="n">
        <f aca="false">OnChain!E13</f>
        <v>20</v>
      </c>
      <c r="E13" s="14" t="n">
        <f aca="false">COUNTIFS(Journal!$C$5:$C$300,A13,Journal!$E$5:$E$300,2000)</f>
        <v>1</v>
      </c>
      <c r="F13" s="14" t="n">
        <f aca="false">ABS(SUMIFS(Journal!$H$5:$H$300,Journal!$C$5:$C$300,A13,Journal!$E$5:$E$300,2000))</f>
        <v>20</v>
      </c>
      <c r="G13" s="14" t="n">
        <f aca="false">D13-F13</f>
        <v>0</v>
      </c>
      <c r="H13" s="15" t="str">
        <f aca="false">IF(E13=0,"MISSING IN LEDGER (completeness)",IF(G13&lt;&gt;0,"QTY MISMATCH (accuracy)","OK"))</f>
        <v>OK</v>
      </c>
    </row>
    <row r="16" customFormat="false" ht="15" hidden="false" customHeight="false" outlineLevel="0" collapsed="false">
      <c r="A16" s="25" t="s">
        <v>176</v>
      </c>
    </row>
    <row r="17" customFormat="false" ht="31.5" hidden="false" customHeight="true" outlineLevel="0" collapsed="false">
      <c r="A17" s="9" t="s">
        <v>50</v>
      </c>
      <c r="B17" s="9" t="s">
        <v>177</v>
      </c>
      <c r="C17" s="9" t="s">
        <v>77</v>
      </c>
      <c r="D17" s="9" t="s">
        <v>178</v>
      </c>
      <c r="E17" s="9" t="s">
        <v>179</v>
      </c>
      <c r="F17" s="9" t="s">
        <v>180</v>
      </c>
      <c r="G17" s="9" t="s">
        <v>174</v>
      </c>
      <c r="H17" s="9" t="s">
        <v>181</v>
      </c>
      <c r="I17" s="9" t="s">
        <v>175</v>
      </c>
    </row>
    <row r="18" customFormat="false" ht="15" hidden="false" customHeight="false" outlineLevel="0" collapsed="false">
      <c r="A18" s="15" t="str">
        <f aca="false">OnChain!A5</f>
        <v>0xT01</v>
      </c>
      <c r="B18" s="15" t="str">
        <f aca="false">"HEDGE-"&amp;A18</f>
        <v>HEDGE-0xT01</v>
      </c>
      <c r="C18" s="26" t="n">
        <f aca="false">OnChain!B5</f>
        <v>46300</v>
      </c>
      <c r="D18" s="26" t="n">
        <f aca="false">WORKDAY(C18,1)</f>
        <v>46301</v>
      </c>
      <c r="E18" s="14" t="n">
        <f aca="false">SUMIFS(Custodian!$C$5:$C$100,Custodian!$A$5:$A$100,B18)</f>
        <v>100</v>
      </c>
      <c r="F18" s="14" t="n">
        <f aca="false">SUMIFS(Journal!$H$5:$H$300,Journal!$C$5:$C$300,B18,Journal!$E$5:$E$300,1100)</f>
        <v>100</v>
      </c>
      <c r="G18" s="14" t="n">
        <f aca="false">F18-E18</f>
        <v>0</v>
      </c>
      <c r="H18" s="15" t="str">
        <f aca="false">IF(COUNTIF(Journal!$C$5:$C$300,"SETTLE-"&amp;B18)&gt;0,"Yes","No")</f>
        <v>Yes</v>
      </c>
      <c r="I18" s="15" t="str">
        <f aca="false">IF(AND(E18=0,F18&lt;&gt;0),"LEDGER TRADE NOT CONFIRMED BY CUSTODIAN",IF(AND(E18&lt;&gt;0,F18=0),"CUSTODIAN TRADE NOT IN LEDGER",IF(E18&lt;&gt;F18,"QTY MISMATCH",IF(D18&gt;Assumptions!$B$4,"PENDING (timing)",IF(H18="No","UNSETTLED PAST DUE","OK")))))</f>
        <v>OK</v>
      </c>
    </row>
    <row r="19" customFormat="false" ht="15" hidden="false" customHeight="false" outlineLevel="0" collapsed="false">
      <c r="A19" s="15" t="str">
        <f aca="false">OnChain!A6</f>
        <v>0xT02</v>
      </c>
      <c r="B19" s="15" t="str">
        <f aca="false">"HEDGE-"&amp;A19</f>
        <v>HEDGE-0xT02</v>
      </c>
      <c r="C19" s="26" t="n">
        <f aca="false">OnChain!B6</f>
        <v>46300</v>
      </c>
      <c r="D19" s="26" t="n">
        <f aca="false">WORKDAY(C19,1)</f>
        <v>46301</v>
      </c>
      <c r="E19" s="14" t="n">
        <f aca="false">SUMIFS(Custodian!$C$5:$C$100,Custodian!$A$5:$A$100,B19)</f>
        <v>500</v>
      </c>
      <c r="F19" s="14" t="n">
        <f aca="false">SUMIFS(Journal!$H$5:$H$300,Journal!$C$5:$C$300,B19,Journal!$E$5:$E$300,1100)</f>
        <v>500</v>
      </c>
      <c r="G19" s="14" t="n">
        <f aca="false">F19-E19</f>
        <v>0</v>
      </c>
      <c r="H19" s="15" t="str">
        <f aca="false">IF(COUNTIF(Journal!$C$5:$C$300,"SETTLE-"&amp;B19)&gt;0,"Yes","No")</f>
        <v>Yes</v>
      </c>
      <c r="I19" s="15" t="str">
        <f aca="false">IF(AND(E19=0,F19&lt;&gt;0),"LEDGER TRADE NOT CONFIRMED BY CUSTODIAN",IF(AND(E19&lt;&gt;0,F19=0),"CUSTODIAN TRADE NOT IN LEDGER",IF(E19&lt;&gt;F19,"QTY MISMATCH",IF(D19&gt;Assumptions!$B$4,"PENDING (timing)",IF(H19="No","UNSETTLED PAST DUE","OK")))))</f>
        <v>OK</v>
      </c>
    </row>
    <row r="20" customFormat="false" ht="15" hidden="false" customHeight="false" outlineLevel="0" collapsed="false">
      <c r="A20" s="15" t="str">
        <f aca="false">OnChain!A7</f>
        <v>0xT03</v>
      </c>
      <c r="B20" s="15" t="str">
        <f aca="false">"HEDGE-"&amp;A20</f>
        <v>HEDGE-0xT03</v>
      </c>
      <c r="C20" s="26" t="n">
        <f aca="false">OnChain!B7</f>
        <v>46301</v>
      </c>
      <c r="D20" s="26" t="n">
        <f aca="false">WORKDAY(C20,1)</f>
        <v>46302</v>
      </c>
      <c r="E20" s="14" t="n">
        <f aca="false">SUMIFS(Custodian!$C$5:$C$100,Custodian!$A$5:$A$100,B20)</f>
        <v>50</v>
      </c>
      <c r="F20" s="14" t="n">
        <f aca="false">SUMIFS(Journal!$H$5:$H$300,Journal!$C$5:$C$300,B20,Journal!$E$5:$E$300,1100)</f>
        <v>50</v>
      </c>
      <c r="G20" s="14" t="n">
        <f aca="false">F20-E20</f>
        <v>0</v>
      </c>
      <c r="H20" s="15" t="str">
        <f aca="false">IF(COUNTIF(Journal!$C$5:$C$300,"SETTLE-"&amp;B20)&gt;0,"Yes","No")</f>
        <v>Yes</v>
      </c>
      <c r="I20" s="15" t="str">
        <f aca="false">IF(AND(E20=0,F20&lt;&gt;0),"LEDGER TRADE NOT CONFIRMED BY CUSTODIAN",IF(AND(E20&lt;&gt;0,F20=0),"CUSTODIAN TRADE NOT IN LEDGER",IF(E20&lt;&gt;F20,"QTY MISMATCH",IF(D20&gt;Assumptions!$B$4,"PENDING (timing)",IF(H20="No","UNSETTLED PAST DUE","OK")))))</f>
        <v>OK</v>
      </c>
    </row>
    <row r="21" customFormat="false" ht="15" hidden="false" customHeight="false" outlineLevel="0" collapsed="false">
      <c r="A21" s="15" t="str">
        <f aca="false">OnChain!A8</f>
        <v>0xT04</v>
      </c>
      <c r="B21" s="15" t="str">
        <f aca="false">"HEDGE-"&amp;A21</f>
        <v>HEDGE-0xT04</v>
      </c>
      <c r="C21" s="26" t="n">
        <f aca="false">OnChain!B8</f>
        <v>46302</v>
      </c>
      <c r="D21" s="26" t="n">
        <f aca="false">WORKDAY(C21,1)</f>
        <v>46303</v>
      </c>
      <c r="E21" s="14" t="n">
        <f aca="false">SUMIFS(Custodian!$C$5:$C$100,Custodian!$A$5:$A$100,B21)</f>
        <v>-30</v>
      </c>
      <c r="F21" s="14" t="n">
        <f aca="false">SUMIFS(Journal!$H$5:$H$300,Journal!$C$5:$C$300,B21,Journal!$E$5:$E$300,1100)</f>
        <v>-30</v>
      </c>
      <c r="G21" s="14" t="n">
        <f aca="false">F21-E21</f>
        <v>0</v>
      </c>
      <c r="H21" s="15" t="str">
        <f aca="false">IF(COUNTIF(Journal!$C$5:$C$300,"SETTLE-"&amp;B21)&gt;0,"Yes","No")</f>
        <v>Yes</v>
      </c>
      <c r="I21" s="15" t="str">
        <f aca="false">IF(AND(E21=0,F21&lt;&gt;0),"LEDGER TRADE NOT CONFIRMED BY CUSTODIAN",IF(AND(E21&lt;&gt;0,F21=0),"CUSTODIAN TRADE NOT IN LEDGER",IF(E21&lt;&gt;F21,"QTY MISMATCH",IF(D21&gt;Assumptions!$B$4,"PENDING (timing)",IF(H21="No","UNSETTLED PAST DUE","OK")))))</f>
        <v>OK</v>
      </c>
    </row>
    <row r="22" customFormat="false" ht="15" hidden="false" customHeight="false" outlineLevel="0" collapsed="false">
      <c r="A22" s="15" t="str">
        <f aca="false">OnChain!A9</f>
        <v>0xT05</v>
      </c>
      <c r="B22" s="15" t="str">
        <f aca="false">"HEDGE-"&amp;A22</f>
        <v>HEDGE-0xT05</v>
      </c>
      <c r="C22" s="26" t="n">
        <f aca="false">OnChain!B9</f>
        <v>46302</v>
      </c>
      <c r="D22" s="26" t="n">
        <f aca="false">WORKDAY(C22,1)</f>
        <v>46303</v>
      </c>
      <c r="E22" s="14" t="n">
        <f aca="false">SUMIFS(Custodian!$C$5:$C$100,Custodian!$A$5:$A$100,B22)</f>
        <v>200</v>
      </c>
      <c r="F22" s="14" t="n">
        <f aca="false">SUMIFS(Journal!$H$5:$H$300,Journal!$C$5:$C$300,B22,Journal!$E$5:$E$300,1100)</f>
        <v>200</v>
      </c>
      <c r="G22" s="14" t="n">
        <f aca="false">F22-E22</f>
        <v>0</v>
      </c>
      <c r="H22" s="15" t="str">
        <f aca="false">IF(COUNTIF(Journal!$C$5:$C$300,"SETTLE-"&amp;B22)&gt;0,"Yes","No")</f>
        <v>Yes</v>
      </c>
      <c r="I22" s="15" t="str">
        <f aca="false">IF(AND(E22=0,F22&lt;&gt;0),"LEDGER TRADE NOT CONFIRMED BY CUSTODIAN",IF(AND(E22&lt;&gt;0,F22=0),"CUSTODIAN TRADE NOT IN LEDGER",IF(E22&lt;&gt;F22,"QTY MISMATCH",IF(D22&gt;Assumptions!$B$4,"PENDING (timing)",IF(H22="No","UNSETTLED PAST DUE","OK")))))</f>
        <v>OK</v>
      </c>
    </row>
    <row r="23" customFormat="false" ht="15" hidden="false" customHeight="false" outlineLevel="0" collapsed="false">
      <c r="A23" s="15" t="str">
        <f aca="false">OnChain!A10</f>
        <v>0xT06</v>
      </c>
      <c r="B23" s="15" t="str">
        <f aca="false">"HEDGE-"&amp;A23</f>
        <v>HEDGE-0xT06</v>
      </c>
      <c r="C23" s="26" t="n">
        <f aca="false">OnChain!B10</f>
        <v>46303</v>
      </c>
      <c r="D23" s="26" t="n">
        <f aca="false">WORKDAY(C23,1)</f>
        <v>46304</v>
      </c>
      <c r="E23" s="14" t="n">
        <f aca="false">SUMIFS(Custodian!$C$5:$C$100,Custodian!$A$5:$A$100,B23)</f>
        <v>-100</v>
      </c>
      <c r="F23" s="14" t="n">
        <f aca="false">SUMIFS(Journal!$H$5:$H$300,Journal!$C$5:$C$300,B23,Journal!$E$5:$E$300,1100)</f>
        <v>-100</v>
      </c>
      <c r="G23" s="14" t="n">
        <f aca="false">F23-E23</f>
        <v>0</v>
      </c>
      <c r="H23" s="15" t="str">
        <f aca="false">IF(COUNTIF(Journal!$C$5:$C$300,"SETTLE-"&amp;B23)&gt;0,"Yes","No")</f>
        <v>Yes</v>
      </c>
      <c r="I23" s="15" t="str">
        <f aca="false">IF(AND(E23=0,F23&lt;&gt;0),"LEDGER TRADE NOT CONFIRMED BY CUSTODIAN",IF(AND(E23&lt;&gt;0,F23=0),"CUSTODIAN TRADE NOT IN LEDGER",IF(E23&lt;&gt;F23,"QTY MISMATCH",IF(D23&gt;Assumptions!$B$4,"PENDING (timing)",IF(H23="No","UNSETTLED PAST DUE","OK")))))</f>
        <v>OK</v>
      </c>
    </row>
    <row r="24" customFormat="false" ht="15" hidden="false" customHeight="false" outlineLevel="0" collapsed="false">
      <c r="A24" s="15" t="str">
        <f aca="false">OnChain!A11</f>
        <v>0xT07</v>
      </c>
      <c r="B24" s="15" t="str">
        <f aca="false">"HEDGE-"&amp;A24</f>
        <v>HEDGE-0xT07</v>
      </c>
      <c r="C24" s="26" t="n">
        <f aca="false">OnChain!B11</f>
        <v>46303</v>
      </c>
      <c r="D24" s="26" t="n">
        <f aca="false">WORKDAY(C24,1)</f>
        <v>46304</v>
      </c>
      <c r="E24" s="14" t="n">
        <f aca="false">SUMIFS(Custodian!$C$5:$C$100,Custodian!$A$5:$A$100,B24)</f>
        <v>40</v>
      </c>
      <c r="F24" s="14" t="n">
        <f aca="false">SUMIFS(Journal!$H$5:$H$300,Journal!$C$5:$C$300,B24,Journal!$E$5:$E$300,1100)</f>
        <v>40</v>
      </c>
      <c r="G24" s="14" t="n">
        <f aca="false">F24-E24</f>
        <v>0</v>
      </c>
      <c r="H24" s="15" t="str">
        <f aca="false">IF(COUNTIF(Journal!$C$5:$C$300,"SETTLE-"&amp;B24)&gt;0,"Yes","No")</f>
        <v>Yes</v>
      </c>
      <c r="I24" s="15" t="str">
        <f aca="false">IF(AND(E24=0,F24&lt;&gt;0),"LEDGER TRADE NOT CONFIRMED BY CUSTODIAN",IF(AND(E24&lt;&gt;0,F24=0),"CUSTODIAN TRADE NOT IN LEDGER",IF(E24&lt;&gt;F24,"QTY MISMATCH",IF(D24&gt;Assumptions!$B$4,"PENDING (timing)",IF(H24="No","UNSETTLED PAST DUE","OK")))))</f>
        <v>OK</v>
      </c>
    </row>
    <row r="25" customFormat="false" ht="15" hidden="false" customHeight="false" outlineLevel="0" collapsed="false">
      <c r="A25" s="15" t="str">
        <f aca="false">OnChain!A12</f>
        <v>0xT08</v>
      </c>
      <c r="B25" s="15" t="str">
        <f aca="false">"HEDGE-"&amp;A25</f>
        <v>HEDGE-0xT08</v>
      </c>
      <c r="C25" s="26" t="n">
        <f aca="false">OnChain!B12</f>
        <v>46304</v>
      </c>
      <c r="D25" s="26" t="n">
        <f aca="false">WORKDAY(C25,1)</f>
        <v>46307</v>
      </c>
      <c r="E25" s="14" t="n">
        <f aca="false">SUMIFS(Custodian!$C$5:$C$100,Custodian!$A$5:$A$100,B25)</f>
        <v>25</v>
      </c>
      <c r="F25" s="14" t="n">
        <f aca="false">SUMIFS(Journal!$H$5:$H$300,Journal!$C$5:$C$300,B25,Journal!$E$5:$E$300,1100)</f>
        <v>25</v>
      </c>
      <c r="G25" s="14" t="n">
        <f aca="false">F25-E25</f>
        <v>0</v>
      </c>
      <c r="H25" s="15" t="str">
        <f aca="false">IF(COUNTIF(Journal!$C$5:$C$300,"SETTLE-"&amp;B25)&gt;0,"Yes","No")</f>
        <v>No</v>
      </c>
      <c r="I25" s="15" t="str">
        <f aca="false">IF(AND(E25=0,F25&lt;&gt;0),"LEDGER TRADE NOT CONFIRMED BY CUSTODIAN",IF(AND(E25&lt;&gt;0,F25=0),"CUSTODIAN TRADE NOT IN LEDGER",IF(E25&lt;&gt;F25,"QTY MISMATCH",IF(D25&gt;Assumptions!$B$4,"PENDING (timing)",IF(H25="No","UNSETTLED PAST DUE","OK")))))</f>
        <v>PENDING (timing)</v>
      </c>
    </row>
    <row r="26" customFormat="false" ht="15" hidden="false" customHeight="false" outlineLevel="0" collapsed="false">
      <c r="A26" s="15" t="str">
        <f aca="false">OnChain!A13</f>
        <v>0xT09</v>
      </c>
      <c r="B26" s="15" t="str">
        <f aca="false">"HEDGE-"&amp;A26</f>
        <v>HEDGE-0xT09</v>
      </c>
      <c r="C26" s="26" t="n">
        <f aca="false">OnChain!B13</f>
        <v>46304</v>
      </c>
      <c r="D26" s="26" t="n">
        <f aca="false">WORKDAY(C26,1)</f>
        <v>46307</v>
      </c>
      <c r="E26" s="14" t="n">
        <f aca="false">SUMIFS(Custodian!$C$5:$C$100,Custodian!$A$5:$A$100,B26)</f>
        <v>-20</v>
      </c>
      <c r="F26" s="14" t="n">
        <f aca="false">SUMIFS(Journal!$H$5:$H$300,Journal!$C$5:$C$300,B26,Journal!$E$5:$E$300,1100)</f>
        <v>-20</v>
      </c>
      <c r="G26" s="14" t="n">
        <f aca="false">F26-E26</f>
        <v>0</v>
      </c>
      <c r="H26" s="15" t="str">
        <f aca="false">IF(COUNTIF(Journal!$C$5:$C$300,"SETTLE-"&amp;B26)&gt;0,"Yes","No")</f>
        <v>No</v>
      </c>
      <c r="I26" s="15" t="str">
        <f aca="false">IF(AND(E26=0,F26&lt;&gt;0),"LEDGER TRADE NOT CONFIRMED BY CUSTODIAN",IF(AND(E26&lt;&gt;0,F26=0),"CUSTODIAN TRADE NOT IN LEDGER",IF(E26&lt;&gt;F26,"QTY MISMATCH",IF(D26&gt;Assumptions!$B$4,"PENDING (timing)",IF(H26="No","UNSETTLED PAST DUE","OK")))))</f>
        <v>PENDING (timing)</v>
      </c>
    </row>
    <row r="29" customFormat="false" ht="15" hidden="false" customHeight="false" outlineLevel="0" collapsed="false">
      <c r="A29" s="25" t="s">
        <v>182</v>
      </c>
    </row>
    <row r="30" customFormat="false" ht="15" hidden="false" customHeight="false" outlineLevel="0" collapsed="false">
      <c r="A30" s="17" t="s">
        <v>183</v>
      </c>
      <c r="F30" s="27" t="n">
        <f aca="false">SUMPRODUCT((LEFT(Journal!$C$5:$C$300,2)="0x")*(COUNTIF(OnChain!$A$5:$A$100,Journal!$C$5:$C$300)=0))</f>
        <v>0</v>
      </c>
      <c r="G30" s="5" t="str">
        <f aca="false">IF(F30=0,"OK","INVESTIGATE")</f>
        <v>OK</v>
      </c>
    </row>
    <row r="32" customFormat="false" ht="15" hidden="false" customHeight="false" outlineLevel="0" collapsed="false">
      <c r="A32" s="25" t="s">
        <v>184</v>
      </c>
    </row>
    <row r="33" customFormat="false" ht="15" hidden="false" customHeight="false" outlineLevel="0" collapsed="false">
      <c r="A33" s="17" t="s">
        <v>185</v>
      </c>
      <c r="F33" s="27" t="n">
        <f aca="false">COUNTIF(H5:H13,"&lt;&gt;OK")</f>
        <v>0</v>
      </c>
    </row>
    <row r="34" customFormat="false" ht="15" hidden="false" customHeight="false" outlineLevel="0" collapsed="false">
      <c r="A34" s="17" t="s">
        <v>186</v>
      </c>
      <c r="F34" s="27" t="n">
        <f aca="false">COUNTIF(I18:I26,"&lt;&gt;OK")-COUNTIF(I18:I26,"PENDING*")</f>
        <v>0</v>
      </c>
    </row>
    <row r="35" customFormat="false" ht="15" hidden="false" customHeight="false" outlineLevel="0" collapsed="false">
      <c r="A35" s="17" t="s">
        <v>187</v>
      </c>
      <c r="F35" s="27" t="n">
        <f aca="false">COUNTIF(I18:I26,"PENDING*")</f>
        <v>2</v>
      </c>
    </row>
  </sheetData>
  <conditionalFormatting sqref="H5:H13">
    <cfRule type="expression" priority="2" aboveAverage="0" equalAverage="0" bottom="0" percent="0" rank="0" text="" dxfId="6">
      <formula>H5="OK"</formula>
    </cfRule>
    <cfRule type="expression" priority="3" aboveAverage="0" equalAverage="0" bottom="0" percent="0" rank="0" text="" dxfId="7">
      <formula>ISNUMBER(SEARCH("PENDING",H5))</formula>
    </cfRule>
    <cfRule type="expression" priority="4" aboveAverage="0" equalAverage="0" bottom="0" percent="0" rank="0" text="" dxfId="5">
      <formula>H5&lt;&gt;""</formula>
    </cfRule>
  </conditionalFormatting>
  <conditionalFormatting sqref="I18:I26">
    <cfRule type="expression" priority="5" aboveAverage="0" equalAverage="0" bottom="0" percent="0" rank="0" text="" dxfId="6">
      <formula>I18="OK"</formula>
    </cfRule>
    <cfRule type="expression" priority="6" aboveAverage="0" equalAverage="0" bottom="0" percent="0" rank="0" text="" dxfId="7">
      <formula>ISNUMBER(SEARCH("PENDING",I18))</formula>
    </cfRule>
    <cfRule type="expression" priority="7" aboveAverage="0" equalAverage="0" bottom="0" percent="0" rank="0" text="" dxfId="5">
      <formula>I18&lt;&gt;""</formula>
    </cfRule>
  </conditionalFormatting>
  <conditionalFormatting sqref="G30">
    <cfRule type="expression" priority="8" aboveAverage="0" equalAverage="0" bottom="0" percent="0" rank="0" text="" dxfId="6">
      <formula>G30="OK"</formula>
    </cfRule>
    <cfRule type="expression" priority="9" aboveAverage="0" equalAverage="0" bottom="0" percent="0" rank="0" text="" dxfId="7">
      <formula>ISNUMBER(SEARCH("PENDING",G30))</formula>
    </cfRule>
    <cfRule type="expression" priority="10" aboveAverage="0" equalAverage="0" bottom="0" percent="0" rank="0" text="" dxfId="5">
      <formula>G30&lt;&gt;""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31.5" hidden="false" customHeight="true" outlineLevel="0" collapsed="false">
      <c r="A4" s="9" t="s">
        <v>190</v>
      </c>
      <c r="B4" s="9" t="s">
        <v>191</v>
      </c>
      <c r="C4" s="9" t="s">
        <v>192</v>
      </c>
      <c r="D4" s="9" t="s">
        <v>193</v>
      </c>
      <c r="E4" s="9" t="s">
        <v>194</v>
      </c>
      <c r="F4" s="9" t="s">
        <v>195</v>
      </c>
    </row>
    <row r="5" customFormat="false" ht="78" hidden="false" customHeight="true" outlineLevel="0" collapsed="false">
      <c r="A5" s="28" t="n">
        <v>1</v>
      </c>
      <c r="B5" s="28" t="s">
        <v>196</v>
      </c>
      <c r="C5" s="28" t="s">
        <v>197</v>
      </c>
      <c r="D5" s="28" t="s">
        <v>198</v>
      </c>
      <c r="E5" s="28" t="s">
        <v>199</v>
      </c>
      <c r="F5" s="28" t="s">
        <v>200</v>
      </c>
    </row>
    <row r="6" customFormat="false" ht="78" hidden="false" customHeight="true" outlineLevel="0" collapsed="false">
      <c r="A6" s="28" t="n">
        <v>2</v>
      </c>
      <c r="B6" s="28" t="s">
        <v>201</v>
      </c>
      <c r="C6" s="28" t="s">
        <v>202</v>
      </c>
      <c r="D6" s="28" t="s">
        <v>203</v>
      </c>
      <c r="E6" s="28" t="s">
        <v>204</v>
      </c>
      <c r="F6" s="28" t="s">
        <v>205</v>
      </c>
    </row>
    <row r="7" customFormat="false" ht="78" hidden="false" customHeight="true" outlineLevel="0" collapsed="false">
      <c r="A7" s="28" t="n">
        <v>3</v>
      </c>
      <c r="B7" s="28" t="s">
        <v>206</v>
      </c>
      <c r="C7" s="28" t="s">
        <v>207</v>
      </c>
      <c r="D7" s="28" t="s">
        <v>208</v>
      </c>
      <c r="E7" s="28" t="s">
        <v>209</v>
      </c>
      <c r="F7" s="28" t="s">
        <v>210</v>
      </c>
    </row>
    <row r="8" customFormat="false" ht="78" hidden="false" customHeight="true" outlineLevel="0" collapsed="false">
      <c r="A8" s="28" t="n">
        <v>4</v>
      </c>
      <c r="B8" s="28" t="s">
        <v>211</v>
      </c>
      <c r="C8" s="28" t="s">
        <v>212</v>
      </c>
      <c r="D8" s="28" t="s">
        <v>213</v>
      </c>
      <c r="E8" s="28" t="s">
        <v>214</v>
      </c>
      <c r="F8" s="28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2026-10-15T10:06:01Z</dcterms:created>
  <dc:creator>openpyxl</dc:creator>
  <dc:description/>
  <dc:language>en-US</dc:language>
  <cp:lastModifiedBy/>
  <dcterms:modified xsi:type="dcterms:W3CDTF">2026-10-15T10:06:01Z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